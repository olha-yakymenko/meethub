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ani\Desktop\UG_udostepnianie\APSI\"/>
    </mc:Choice>
  </mc:AlternateContent>
  <xr:revisionPtr revIDLastSave="0" documentId="13_ncr:1_{C2DEEF58-38B8-4E87-ABA3-6314BC1E2AC2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Lista obecnośc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39" i="1" l="1"/>
  <c r="BI38" i="1"/>
  <c r="BD39" i="1"/>
  <c r="BD38" i="1"/>
  <c r="AY39" i="1"/>
  <c r="AY38" i="1"/>
  <c r="AT39" i="1"/>
  <c r="AT38" i="1"/>
  <c r="AO39" i="1"/>
  <c r="AO38" i="1"/>
  <c r="AE39" i="1"/>
  <c r="AE38" i="1"/>
  <c r="AJ39" i="1"/>
  <c r="AJ38" i="1"/>
  <c r="Z39" i="1"/>
  <c r="Z38" i="1"/>
  <c r="U39" i="1"/>
  <c r="U38" i="1"/>
  <c r="P39" i="1"/>
  <c r="P38" i="1"/>
  <c r="K39" i="1"/>
  <c r="K38" i="1"/>
  <c r="F39" i="1"/>
  <c r="F38" i="1"/>
</calcChain>
</file>

<file path=xl/sharedStrings.xml><?xml version="1.0" encoding="utf-8"?>
<sst xmlns="http://schemas.openxmlformats.org/spreadsheetml/2006/main" count="441" uniqueCount="126">
  <si>
    <t>Nazwisko</t>
  </si>
  <si>
    <t>Nr indeksu</t>
  </si>
  <si>
    <t>Uczelnia:</t>
  </si>
  <si>
    <t>Wydział:</t>
  </si>
  <si>
    <t>Matematyki, Fizyki i Informatyki</t>
  </si>
  <si>
    <t>Kierunek:</t>
  </si>
  <si>
    <t>Informatyka</t>
  </si>
  <si>
    <t>Informatyka Ogólna</t>
  </si>
  <si>
    <t xml:space="preserve">Przedmiot: </t>
  </si>
  <si>
    <t>Analiza i Projektowanie Systemów Informatycznych</t>
  </si>
  <si>
    <t>rok ak.</t>
  </si>
  <si>
    <t>sem.</t>
  </si>
  <si>
    <t>zimowy</t>
  </si>
  <si>
    <t>sala</t>
  </si>
  <si>
    <t>sal. 3.13</t>
  </si>
  <si>
    <t>dr inż.. Stanisław Witkowski</t>
  </si>
  <si>
    <t>Imiona</t>
  </si>
  <si>
    <t>Sprawozdanie</t>
  </si>
  <si>
    <t>Uwagi</t>
  </si>
  <si>
    <t>Uniwersytet Gdański</t>
  </si>
  <si>
    <t>Specjalność:</t>
  </si>
  <si>
    <t>zajęcia</t>
  </si>
  <si>
    <t>Prowadzący:</t>
  </si>
  <si>
    <t>Obecność</t>
  </si>
  <si>
    <t>Aktywność</t>
  </si>
  <si>
    <t>Wejściówka</t>
  </si>
  <si>
    <t>LP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</si>
  <si>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</si>
  <si>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</si>
  <si>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</si>
  <si>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</si>
  <si>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</si>
  <si>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</si>
  <si>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</si>
  <si>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</si>
  <si>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</si>
  <si>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</si>
  <si>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(czwartek)</t>
  </si>
  <si>
    <t>godz. spotk.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</si>
  <si>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</si>
  <si>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</si>
  <si>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</si>
  <si>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</si>
  <si>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</si>
  <si>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</si>
  <si>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</si>
  <si>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</si>
  <si>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</si>
  <si>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</si>
  <si>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</si>
  <si>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</si>
  <si>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</si>
  <si>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Szkolenie BHP - odbyło się w dniu ….</t>
  </si>
  <si>
    <t>tel. 603-612-317</t>
  </si>
  <si>
    <t>stanislaw.witkowski@ug.edu.pl</t>
  </si>
  <si>
    <t>Omówienie karty Sylabus - odbyło się w dniu ….</t>
  </si>
  <si>
    <t>2025/2026 stacjonarne</t>
  </si>
  <si>
    <t>stacjonarne w sali</t>
  </si>
  <si>
    <t>tak</t>
  </si>
  <si>
    <t>02.10.2025r.</t>
  </si>
  <si>
    <t>Liczba obecności</t>
  </si>
  <si>
    <t>Liczba nieobecności</t>
  </si>
  <si>
    <t>Obecni:</t>
  </si>
  <si>
    <t>Nieobecni:</t>
  </si>
  <si>
    <t>Michał</t>
  </si>
  <si>
    <t>Mateusz</t>
  </si>
  <si>
    <t>Aleksandra</t>
  </si>
  <si>
    <t>Maciej</t>
  </si>
  <si>
    <t>Grupa:</t>
  </si>
  <si>
    <t>Jan</t>
  </si>
  <si>
    <t>Spotkanie 1. - Temat: Wstep</t>
  </si>
  <si>
    <t>16.00-18.00</t>
  </si>
  <si>
    <t>III</t>
  </si>
  <si>
    <t>Skoczko</t>
  </si>
  <si>
    <t>Yakymenko</t>
  </si>
  <si>
    <t>Olha</t>
  </si>
  <si>
    <t>Ryduchowski</t>
  </si>
  <si>
    <t>Kuczkowska</t>
  </si>
  <si>
    <t>Jagoda</t>
  </si>
  <si>
    <t>Wojciechowski</t>
  </si>
  <si>
    <t>Oliver</t>
  </si>
  <si>
    <t>Gruba</t>
  </si>
  <si>
    <t>Ligenza</t>
  </si>
  <si>
    <t>Szymon</t>
  </si>
  <si>
    <t>Lato</t>
  </si>
  <si>
    <t>Stromski</t>
  </si>
  <si>
    <t>Bartosz</t>
  </si>
  <si>
    <t>Samsel</t>
  </si>
  <si>
    <t>Nasiadka</t>
  </si>
  <si>
    <t>Grysiewicz</t>
  </si>
  <si>
    <t>Alwasiak</t>
  </si>
  <si>
    <t>Grzegorz</t>
  </si>
  <si>
    <t>Witkowska</t>
  </si>
  <si>
    <t>Pola</t>
  </si>
  <si>
    <t>Szymański</t>
  </si>
  <si>
    <t>Kąkol</t>
  </si>
  <si>
    <t>Mitros</t>
  </si>
  <si>
    <t>Damian</t>
  </si>
  <si>
    <t>Owsiejko</t>
  </si>
  <si>
    <t>Natalia</t>
  </si>
  <si>
    <t>Stadnicka</t>
  </si>
  <si>
    <t>09.10.2025r.</t>
  </si>
  <si>
    <t>Spotkanie 1. - Oprogramowanie</t>
  </si>
  <si>
    <t>nie</t>
  </si>
  <si>
    <t>w</t>
  </si>
  <si>
    <t>Oprogramowanie</t>
  </si>
  <si>
    <t>23.10.2025r.</t>
  </si>
  <si>
    <t>016.10.2025r.</t>
  </si>
  <si>
    <t>30.10.2025r.</t>
  </si>
  <si>
    <t>Spotkanie 2. - Diagram przypadków cz.2</t>
  </si>
  <si>
    <t>zw.</t>
  </si>
  <si>
    <t>05.11.2025r.</t>
  </si>
  <si>
    <t>Spotkanie 2. - Diagram klas</t>
  </si>
  <si>
    <t>z</t>
  </si>
  <si>
    <t>b</t>
  </si>
  <si>
    <t>06.11.2025r.</t>
  </si>
  <si>
    <t>13.11.2025r.</t>
  </si>
  <si>
    <t>Spotkanie 2. - Diagram czynnosci</t>
  </si>
  <si>
    <t>20.11.2025r.</t>
  </si>
  <si>
    <t>Spotkanie 2. - Diagram aktywnosci</t>
  </si>
  <si>
    <t>27.11.2025r.</t>
  </si>
  <si>
    <t>Spotkanie 7. - Diagram sekwencji</t>
  </si>
  <si>
    <t>04.12.2025r.</t>
  </si>
  <si>
    <t>11.12.2025r.</t>
  </si>
  <si>
    <t>Spotkanie 7. - Diagram KOMPONENTÓW I WDROZENIA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</si>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</sst>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3" borderId="8" xfId="0" applyFill="1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0" fontId="9" fillId="0" borderId="0" xfId="1" applyFont="1"/>
    <xf numFmtId="0" fontId="10" fillId="0" borderId="0" xfId="0" applyFont="1"/>
    <xf numFmtId="17" fontId="11" fillId="0" borderId="0" xfId="0" applyNumberFormat="1" applyFont="1"/>
    <xf numFmtId="0" fontId="0" fillId="0" borderId="0" xfId="0" applyAlignment="1">
      <alignment horizontal="right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9" xfId="0" applyBorder="1"/>
    <xf numFmtId="0" fontId="0" fillId="3" borderId="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7" borderId="7" xfId="0" applyFill="1" applyBorder="1"/>
    <xf numFmtId="0" fontId="0" fillId="3" borderId="7" xfId="0" applyFill="1" applyBorder="1"/>
    <xf numFmtId="0" fontId="0" fillId="7" borderId="9" xfId="0" applyFill="1" applyBorder="1"/>
    <xf numFmtId="0" fontId="1" fillId="0" borderId="0" xfId="0" applyFont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0" fillId="8" borderId="7" xfId="0" applyFill="1" applyBorder="1"/>
    <xf numFmtId="0" fontId="0" fillId="8" borderId="8" xfId="0" applyFill="1" applyBorder="1"/>
    <xf numFmtId="0" fontId="0" fillId="5" borderId="7" xfId="0" applyFill="1" applyBorder="1"/>
    <xf numFmtId="0" fontId="0" fillId="5" borderId="1" xfId="0" applyFill="1" applyBorder="1"/>
    <xf numFmtId="0" fontId="0" fillId="5" borderId="8" xfId="0" applyFill="1" applyBorder="1"/>
    <xf numFmtId="0" fontId="0" fillId="4" borderId="1" xfId="0" applyFill="1" applyBorder="1"/>
    <xf numFmtId="0" fontId="0" fillId="5" borderId="10" xfId="0" applyFill="1" applyBorder="1"/>
    <xf numFmtId="0" fontId="0" fillId="6" borderId="1" xfId="0" applyFill="1" applyBorder="1"/>
    <xf numFmtId="0" fontId="0" fillId="5" borderId="3" xfId="0" applyFill="1" applyBorder="1"/>
    <xf numFmtId="0" fontId="0" fillId="5" borderId="2" xfId="0" applyFill="1" applyBorder="1"/>
    <xf numFmtId="0" fontId="10" fillId="0" borderId="8" xfId="0" applyFont="1" applyBorder="1"/>
    <xf numFmtId="0" fontId="0" fillId="9" borderId="1" xfId="0" applyFill="1" applyBorder="1"/>
    <xf numFmtId="0" fontId="0" fillId="9" borderId="10" xfId="0" applyFill="1" applyBorder="1"/>
    <xf numFmtId="0" fontId="0" fillId="10" borderId="1" xfId="0" applyFill="1" applyBorder="1"/>
    <xf numFmtId="0" fontId="10" fillId="10" borderId="8" xfId="0" applyFont="1" applyFill="1" applyBorder="1"/>
    <xf numFmtId="0" fontId="0" fillId="10" borderId="8" xfId="0" applyFill="1" applyBorder="1"/>
    <xf numFmtId="0" fontId="0" fillId="10" borderId="10" xfId="0" applyFill="1" applyBorder="1"/>
    <xf numFmtId="0" fontId="0" fillId="10" borderId="11" xfId="0" applyFill="1" applyBorder="1"/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anislaw.witkowski@ug.edu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O44"/>
  <sheetViews>
    <sheetView tabSelected="1" topLeftCell="D11" zoomScale="99" zoomScaleNormal="99" workbookViewId="0">
      <selection activeCell="AY11" sqref="AY1:BC1048576"/>
    </sheetView>
  </sheetViews>
  <sheetFormatPr defaultRowHeight="14.4" x14ac:dyDescent="0.3"/>
  <cols>
    <col min="3" max="3" width="12.109375" customWidth="1"/>
    <col min="4" max="4" width="14.77734375" customWidth="1"/>
    <col min="5" max="5" width="17" customWidth="1"/>
    <col min="6" max="6" width="8.88671875" hidden="1" customWidth="1"/>
    <col min="7" max="7" width="10.5546875" hidden="1" customWidth="1"/>
    <col min="8" max="8" width="10.6640625" hidden="1" customWidth="1"/>
    <col min="9" max="9" width="12" hidden="1" customWidth="1"/>
    <col min="10" max="11" width="8.88671875" hidden="1" customWidth="1"/>
    <col min="12" max="12" width="10.5546875" hidden="1" customWidth="1"/>
    <col min="13" max="13" width="10.6640625" hidden="1" customWidth="1"/>
    <col min="14" max="14" width="12" hidden="1" customWidth="1"/>
    <col min="15" max="16" width="8.88671875" hidden="1" customWidth="1"/>
    <col min="17" max="17" width="10.5546875" hidden="1" customWidth="1"/>
    <col min="18" max="18" width="10.6640625" hidden="1" customWidth="1"/>
    <col min="19" max="19" width="12" hidden="1" customWidth="1"/>
    <col min="20" max="21" width="8.88671875" hidden="1" customWidth="1"/>
    <col min="22" max="22" width="10.5546875" hidden="1" customWidth="1"/>
    <col min="23" max="23" width="10.6640625" hidden="1" customWidth="1"/>
    <col min="24" max="24" width="12" hidden="1" customWidth="1"/>
    <col min="25" max="25" width="8.88671875" hidden="1" customWidth="1"/>
    <col min="26" max="26" width="0" hidden="1" customWidth="1"/>
    <col min="27" max="27" width="10.5546875" hidden="1" customWidth="1"/>
    <col min="28" max="28" width="10.6640625" hidden="1" customWidth="1"/>
    <col min="29" max="29" width="12" hidden="1" customWidth="1"/>
    <col min="30" max="31" width="0" hidden="1" customWidth="1"/>
    <col min="32" max="32" width="10.5546875" hidden="1" customWidth="1"/>
    <col min="33" max="33" width="10.6640625" hidden="1" customWidth="1"/>
    <col min="34" max="34" width="12" hidden="1" customWidth="1"/>
    <col min="35" max="36" width="0" hidden="1" customWidth="1"/>
    <col min="37" max="37" width="10.5546875" hidden="1" customWidth="1"/>
    <col min="38" max="38" width="10.6640625" hidden="1" customWidth="1"/>
    <col min="39" max="39" width="12" hidden="1" customWidth="1"/>
    <col min="40" max="41" width="0" hidden="1" customWidth="1"/>
    <col min="42" max="42" width="10.5546875" hidden="1" customWidth="1"/>
    <col min="43" max="43" width="10.6640625" hidden="1" customWidth="1"/>
    <col min="44" max="44" width="12" hidden="1" customWidth="1"/>
    <col min="45" max="46" width="0" hidden="1" customWidth="1"/>
    <col min="47" max="47" width="10.5546875" hidden="1" customWidth="1"/>
    <col min="48" max="48" width="10.6640625" hidden="1" customWidth="1"/>
    <col min="49" max="49" width="12" hidden="1" customWidth="1"/>
    <col min="50" max="51" width="0" hidden="1" customWidth="1"/>
    <col min="52" max="52" width="10.5546875" hidden="1" customWidth="1"/>
    <col min="53" max="53" width="10.6640625" hidden="1" customWidth="1"/>
    <col min="54" max="54" width="12" hidden="1" customWidth="1"/>
    <col min="55" max="55" width="0" hidden="1" customWidth="1"/>
    <col min="57" max="57" width="10.5546875" customWidth="1"/>
    <col min="58" max="58" width="10.6640625" customWidth="1"/>
    <col min="59" max="59" width="12" customWidth="1"/>
    <col min="62" max="62" width="10.5546875" customWidth="1"/>
    <col min="63" max="63" width="10.6640625" customWidth="1"/>
    <col min="64" max="64" width="12" customWidth="1"/>
    <col min="66" max="66" width="17.109375" customWidth="1"/>
    <col min="67" max="67" width="17.5546875" customWidth="1"/>
  </cols>
  <sheetData>
    <row r="1" spans="2:67" ht="18" x14ac:dyDescent="0.35">
      <c r="C1" t="s">
        <v>8</v>
      </c>
      <c r="D1" s="17" t="s">
        <v>9</v>
      </c>
    </row>
    <row r="2" spans="2:67" x14ac:dyDescent="0.3">
      <c r="C2" t="s">
        <v>2</v>
      </c>
      <c r="D2" s="1" t="s">
        <v>19</v>
      </c>
    </row>
    <row r="3" spans="2:67" x14ac:dyDescent="0.3">
      <c r="C3" t="s">
        <v>3</v>
      </c>
      <c r="D3" s="1" t="s">
        <v>4</v>
      </c>
    </row>
    <row r="4" spans="2:67" x14ac:dyDescent="0.3">
      <c r="C4" t="s">
        <v>5</v>
      </c>
      <c r="D4" s="1" t="s">
        <v>6</v>
      </c>
    </row>
    <row r="5" spans="2:67" x14ac:dyDescent="0.3">
      <c r="C5" t="s">
        <v>20</v>
      </c>
      <c r="D5" s="1" t="s">
        <v>7</v>
      </c>
    </row>
    <row r="6" spans="2:67" x14ac:dyDescent="0.3">
      <c r="C6" t="s">
        <v>10</v>
      </c>
      <c r="D6" s="1" t="s">
        <v>56</v>
      </c>
    </row>
    <row r="7" spans="2:67" x14ac:dyDescent="0.3">
      <c r="C7" t="s">
        <v>11</v>
      </c>
      <c r="D7" s="1" t="s">
        <v>12</v>
      </c>
    </row>
    <row r="8" spans="2:67" x14ac:dyDescent="0.3">
      <c r="C8" t="s">
        <v>13</v>
      </c>
      <c r="D8" s="18" t="s">
        <v>14</v>
      </c>
    </row>
    <row r="9" spans="2:67" x14ac:dyDescent="0.3">
      <c r="C9" t="s">
        <v>21</v>
      </c>
      <c r="D9" s="1" t="s">
        <v>57</v>
      </c>
    </row>
    <row r="10" spans="2:67" x14ac:dyDescent="0.3">
      <c r="C10" t="s">
        <v>22</v>
      </c>
      <c r="D10" s="1" t="s">
        <v>15</v>
      </c>
    </row>
    <row r="11" spans="2:67" ht="15" thickBot="1" x14ac:dyDescent="0.35">
      <c r="C11" t="s">
        <v>68</v>
      </c>
      <c r="D11" s="1" t="s">
        <v>72</v>
      </c>
    </row>
    <row r="12" spans="2:67" ht="18.600000000000001" thickBot="1" x14ac:dyDescent="0.4">
      <c r="C12" s="11" t="s">
        <v>38</v>
      </c>
      <c r="D12" s="12" t="s">
        <v>71</v>
      </c>
      <c r="E12" s="13" t="s">
        <v>37</v>
      </c>
      <c r="F12" s="50" t="s">
        <v>59</v>
      </c>
      <c r="G12" s="51"/>
      <c r="H12" s="51"/>
      <c r="I12" s="51"/>
      <c r="J12" s="52"/>
      <c r="K12" s="50" t="s">
        <v>101</v>
      </c>
      <c r="L12" s="51"/>
      <c r="M12" s="51"/>
      <c r="N12" s="51"/>
      <c r="O12" s="52"/>
      <c r="P12" s="50" t="s">
        <v>107</v>
      </c>
      <c r="Q12" s="51"/>
      <c r="R12" s="51"/>
      <c r="S12" s="51"/>
      <c r="T12" s="52"/>
      <c r="U12" s="50" t="s">
        <v>106</v>
      </c>
      <c r="V12" s="51"/>
      <c r="W12" s="51"/>
      <c r="X12" s="51"/>
      <c r="Y12" s="52"/>
      <c r="Z12" s="50" t="s">
        <v>108</v>
      </c>
      <c r="AA12" s="51"/>
      <c r="AB12" s="51"/>
      <c r="AC12" s="51"/>
      <c r="AD12" s="52"/>
      <c r="AE12" s="50" t="s">
        <v>111</v>
      </c>
      <c r="AF12" s="51"/>
      <c r="AG12" s="51"/>
      <c r="AH12" s="51"/>
      <c r="AI12" s="52"/>
      <c r="AJ12" s="50" t="s">
        <v>115</v>
      </c>
      <c r="AK12" s="51"/>
      <c r="AL12" s="51"/>
      <c r="AM12" s="51"/>
      <c r="AN12" s="52"/>
      <c r="AO12" s="50" t="s">
        <v>116</v>
      </c>
      <c r="AP12" s="51"/>
      <c r="AQ12" s="51"/>
      <c r="AR12" s="51"/>
      <c r="AS12" s="52"/>
      <c r="AT12" s="50" t="s">
        <v>118</v>
      </c>
      <c r="AU12" s="51"/>
      <c r="AV12" s="51"/>
      <c r="AW12" s="51"/>
      <c r="AX12" s="52"/>
      <c r="AY12" s="50" t="s">
        <v>120</v>
      </c>
      <c r="AZ12" s="51"/>
      <c r="BA12" s="51"/>
      <c r="BB12" s="51"/>
      <c r="BC12" s="52"/>
      <c r="BD12" s="50" t="s">
        <v>122</v>
      </c>
      <c r="BE12" s="51"/>
      <c r="BF12" s="51"/>
      <c r="BG12" s="51"/>
      <c r="BH12" s="52"/>
      <c r="BI12" s="50" t="s">
        <v>123</v>
      </c>
      <c r="BJ12" s="51"/>
      <c r="BK12" s="51"/>
      <c r="BL12" s="51"/>
      <c r="BM12" s="52"/>
      <c r="BN12" s="29"/>
      <c r="BO12" s="29"/>
    </row>
    <row r="13" spans="2:67" ht="14.4" customHeight="1" x14ac:dyDescent="0.3">
      <c r="B13" s="63" t="s">
        <v>26</v>
      </c>
      <c r="C13" s="57" t="s">
        <v>1</v>
      </c>
      <c r="D13" s="59" t="s">
        <v>0</v>
      </c>
      <c r="E13" s="61" t="s">
        <v>16</v>
      </c>
      <c r="F13" s="53" t="s">
        <v>70</v>
      </c>
      <c r="G13" s="54"/>
      <c r="H13" s="54"/>
      <c r="I13" s="55"/>
      <c r="J13" s="56"/>
      <c r="K13" s="53" t="s">
        <v>102</v>
      </c>
      <c r="L13" s="54"/>
      <c r="M13" s="54"/>
      <c r="N13" s="55"/>
      <c r="O13" s="56"/>
      <c r="P13" s="53" t="s">
        <v>102</v>
      </c>
      <c r="Q13" s="54"/>
      <c r="R13" s="54"/>
      <c r="S13" s="55"/>
      <c r="T13" s="56"/>
      <c r="U13" s="53" t="s">
        <v>102</v>
      </c>
      <c r="V13" s="54"/>
      <c r="W13" s="54"/>
      <c r="X13" s="55"/>
      <c r="Y13" s="56"/>
      <c r="Z13" s="53" t="s">
        <v>109</v>
      </c>
      <c r="AA13" s="54"/>
      <c r="AB13" s="54"/>
      <c r="AC13" s="55"/>
      <c r="AD13" s="56"/>
      <c r="AE13" s="53" t="s">
        <v>112</v>
      </c>
      <c r="AF13" s="54"/>
      <c r="AG13" s="54"/>
      <c r="AH13" s="55"/>
      <c r="AI13" s="56"/>
      <c r="AJ13" s="53" t="s">
        <v>112</v>
      </c>
      <c r="AK13" s="54"/>
      <c r="AL13" s="54"/>
      <c r="AM13" s="55"/>
      <c r="AN13" s="56"/>
      <c r="AO13" s="53" t="s">
        <v>117</v>
      </c>
      <c r="AP13" s="54"/>
      <c r="AQ13" s="54"/>
      <c r="AR13" s="55"/>
      <c r="AS13" s="56"/>
      <c r="AT13" s="53" t="s">
        <v>119</v>
      </c>
      <c r="AU13" s="54"/>
      <c r="AV13" s="54"/>
      <c r="AW13" s="55"/>
      <c r="AX13" s="56"/>
      <c r="AY13" s="53" t="s">
        <v>121</v>
      </c>
      <c r="AZ13" s="54"/>
      <c r="BA13" s="54"/>
      <c r="BB13" s="55"/>
      <c r="BC13" s="56"/>
      <c r="BD13" s="53" t="s">
        <v>121</v>
      </c>
      <c r="BE13" s="54"/>
      <c r="BF13" s="54"/>
      <c r="BG13" s="55"/>
      <c r="BH13" s="56"/>
      <c r="BI13" s="53" t="s">
        <v>124</v>
      </c>
      <c r="BJ13" s="54"/>
      <c r="BK13" s="54"/>
      <c r="BL13" s="55"/>
      <c r="BM13" s="56"/>
      <c r="BN13" s="63" t="s">
        <v>60</v>
      </c>
      <c r="BO13" s="63" t="s">
        <v>61</v>
      </c>
    </row>
    <row r="14" spans="2:67" x14ac:dyDescent="0.3">
      <c r="B14" s="63"/>
      <c r="C14" s="58"/>
      <c r="D14" s="60"/>
      <c r="E14" s="62"/>
      <c r="F14" s="25" t="s">
        <v>23</v>
      </c>
      <c r="G14" s="3" t="s">
        <v>24</v>
      </c>
      <c r="H14" s="3" t="s">
        <v>25</v>
      </c>
      <c r="I14" s="3" t="s">
        <v>17</v>
      </c>
      <c r="J14" s="6" t="s">
        <v>18</v>
      </c>
      <c r="K14" s="24" t="s">
        <v>23</v>
      </c>
      <c r="L14" s="3" t="s">
        <v>24</v>
      </c>
      <c r="M14" s="3" t="s">
        <v>105</v>
      </c>
      <c r="N14" s="3" t="s">
        <v>17</v>
      </c>
      <c r="O14" s="6" t="s">
        <v>18</v>
      </c>
      <c r="P14" s="24" t="s">
        <v>23</v>
      </c>
      <c r="Q14" s="3" t="s">
        <v>24</v>
      </c>
      <c r="R14" s="3" t="s">
        <v>25</v>
      </c>
      <c r="S14" s="3" t="s">
        <v>17</v>
      </c>
      <c r="T14" s="6" t="s">
        <v>18</v>
      </c>
      <c r="U14" s="24" t="s">
        <v>23</v>
      </c>
      <c r="V14" s="3" t="s">
        <v>24</v>
      </c>
      <c r="W14" s="3" t="s">
        <v>25</v>
      </c>
      <c r="X14" s="3" t="s">
        <v>17</v>
      </c>
      <c r="Y14" s="6" t="s">
        <v>18</v>
      </c>
      <c r="Z14" s="24" t="s">
        <v>23</v>
      </c>
      <c r="AA14" s="3" t="s">
        <v>24</v>
      </c>
      <c r="AB14" s="3" t="s">
        <v>25</v>
      </c>
      <c r="AC14" s="3" t="s">
        <v>17</v>
      </c>
      <c r="AD14" s="6" t="s">
        <v>18</v>
      </c>
      <c r="AE14" s="24" t="s">
        <v>23</v>
      </c>
      <c r="AF14" s="3" t="s">
        <v>24</v>
      </c>
      <c r="AG14" s="3" t="s">
        <v>25</v>
      </c>
      <c r="AH14" s="3" t="s">
        <v>17</v>
      </c>
      <c r="AI14" s="6" t="s">
        <v>18</v>
      </c>
      <c r="AJ14" s="24" t="s">
        <v>23</v>
      </c>
      <c r="AK14" s="3" t="s">
        <v>24</v>
      </c>
      <c r="AL14" s="3" t="s">
        <v>25</v>
      </c>
      <c r="AM14" s="3" t="s">
        <v>17</v>
      </c>
      <c r="AN14" s="6" t="s">
        <v>18</v>
      </c>
      <c r="AO14" s="24" t="s">
        <v>23</v>
      </c>
      <c r="AP14" s="3" t="s">
        <v>24</v>
      </c>
      <c r="AQ14" s="3" t="s">
        <v>25</v>
      </c>
      <c r="AR14" s="3" t="s">
        <v>17</v>
      </c>
      <c r="AS14" s="6" t="s">
        <v>18</v>
      </c>
      <c r="AT14" s="24" t="s">
        <v>23</v>
      </c>
      <c r="AU14" s="3" t="s">
        <v>24</v>
      </c>
      <c r="AV14" s="3" t="s">
        <v>25</v>
      </c>
      <c r="AW14" s="3" t="s">
        <v>17</v>
      </c>
      <c r="AX14" s="6" t="s">
        <v>18</v>
      </c>
      <c r="AY14" s="24" t="s">
        <v>23</v>
      </c>
      <c r="AZ14" s="3" t="s">
        <v>24</v>
      </c>
      <c r="BA14" s="3" t="s">
        <v>25</v>
      </c>
      <c r="BB14" s="3" t="s">
        <v>17</v>
      </c>
      <c r="BC14" s="6" t="s">
        <v>18</v>
      </c>
      <c r="BD14" s="24" t="s">
        <v>23</v>
      </c>
      <c r="BE14" s="3" t="s">
        <v>24</v>
      </c>
      <c r="BF14" s="3" t="s">
        <v>25</v>
      </c>
      <c r="BG14" s="3" t="s">
        <v>17</v>
      </c>
      <c r="BH14" s="6" t="s">
        <v>18</v>
      </c>
      <c r="BI14" s="24" t="s">
        <v>23</v>
      </c>
      <c r="BJ14" s="3" t="s">
        <v>24</v>
      </c>
      <c r="BK14" s="3" t="s">
        <v>25</v>
      </c>
      <c r="BL14" s="3" t="s">
        <v>17</v>
      </c>
      <c r="BM14" s="6" t="s">
        <v>18</v>
      </c>
      <c r="BN14" s="64"/>
      <c r="BO14" s="64"/>
    </row>
    <row r="15" spans="2:67" x14ac:dyDescent="0.3">
      <c r="B15" s="20" t="s">
        <v>27</v>
      </c>
      <c r="C15" s="5">
        <v>285553</v>
      </c>
      <c r="D15" s="2" t="s">
        <v>73</v>
      </c>
      <c r="E15" s="4" t="s">
        <v>64</v>
      </c>
      <c r="F15" s="26" t="s">
        <v>58</v>
      </c>
      <c r="G15" s="2"/>
      <c r="H15" s="2"/>
      <c r="I15" s="2"/>
      <c r="J15" s="7"/>
      <c r="K15" s="26" t="s">
        <v>103</v>
      </c>
      <c r="L15" s="2"/>
      <c r="M15" s="2" t="s">
        <v>104</v>
      </c>
      <c r="N15" s="2"/>
      <c r="O15" s="7"/>
      <c r="P15" s="26" t="s">
        <v>58</v>
      </c>
      <c r="Q15" s="2"/>
      <c r="R15" s="2"/>
      <c r="S15" s="2"/>
      <c r="T15" s="7"/>
      <c r="U15" s="26" t="s">
        <v>58</v>
      </c>
      <c r="V15" s="2"/>
      <c r="W15" s="2"/>
      <c r="X15" s="2"/>
      <c r="Y15" s="7"/>
      <c r="Z15" s="26" t="s">
        <v>103</v>
      </c>
      <c r="AA15" s="2"/>
      <c r="AB15" s="2"/>
      <c r="AC15" s="2">
        <v>4</v>
      </c>
      <c r="AD15" s="7"/>
      <c r="AE15" s="26" t="s">
        <v>58</v>
      </c>
      <c r="AF15" s="2"/>
      <c r="AG15" s="2">
        <v>4.5</v>
      </c>
      <c r="AH15" s="2"/>
      <c r="AI15" s="7"/>
      <c r="AJ15" s="26" t="s">
        <v>58</v>
      </c>
      <c r="AK15" s="2"/>
      <c r="AL15" s="2"/>
      <c r="AM15" s="2">
        <v>5</v>
      </c>
      <c r="AN15" s="7"/>
      <c r="AO15" s="26" t="s">
        <v>58</v>
      </c>
      <c r="AP15" s="2"/>
      <c r="AQ15" s="2"/>
      <c r="AR15" s="2">
        <v>4.5</v>
      </c>
      <c r="AS15" s="7"/>
      <c r="AT15" s="26" t="s">
        <v>58</v>
      </c>
      <c r="AU15" s="2"/>
      <c r="AV15" s="2">
        <v>4.5</v>
      </c>
      <c r="AW15" s="2">
        <v>4.5</v>
      </c>
      <c r="AX15" s="7"/>
      <c r="AY15" s="26" t="s">
        <v>58</v>
      </c>
      <c r="AZ15" s="43">
        <v>5</v>
      </c>
      <c r="BA15" s="2"/>
      <c r="BB15" s="2"/>
      <c r="BC15" s="7"/>
      <c r="BD15" s="26" t="s">
        <v>58</v>
      </c>
      <c r="BE15" s="43">
        <v>4</v>
      </c>
      <c r="BF15" s="2"/>
      <c r="BG15" s="2"/>
      <c r="BH15" s="7"/>
      <c r="BI15" s="26" t="s">
        <v>58</v>
      </c>
      <c r="BJ15" s="43"/>
      <c r="BK15" s="2"/>
      <c r="BL15" s="2"/>
      <c r="BM15" s="7"/>
      <c r="BN15" s="2"/>
      <c r="BO15" s="2"/>
    </row>
    <row r="16" spans="2:67" x14ac:dyDescent="0.3">
      <c r="B16" s="20" t="s">
        <v>28</v>
      </c>
      <c r="C16" s="5">
        <v>290061</v>
      </c>
      <c r="D16" s="2" t="s">
        <v>74</v>
      </c>
      <c r="E16" s="4" t="s">
        <v>75</v>
      </c>
      <c r="F16" s="26" t="s">
        <v>58</v>
      </c>
      <c r="G16" s="2"/>
      <c r="H16" s="2"/>
      <c r="I16" s="2"/>
      <c r="J16" s="7"/>
      <c r="K16" s="26" t="s">
        <v>58</v>
      </c>
      <c r="L16" s="2">
        <v>5</v>
      </c>
      <c r="M16" s="2" t="s">
        <v>104</v>
      </c>
      <c r="N16" s="2"/>
      <c r="O16" s="7"/>
      <c r="P16" s="26" t="s">
        <v>58</v>
      </c>
      <c r="Q16" s="2">
        <v>5</v>
      </c>
      <c r="R16" s="2"/>
      <c r="S16" s="2"/>
      <c r="T16" s="7"/>
      <c r="U16" s="26" t="s">
        <v>58</v>
      </c>
      <c r="V16" s="2"/>
      <c r="W16" s="2"/>
      <c r="X16" s="2"/>
      <c r="Y16" s="7"/>
      <c r="Z16" s="26" t="s">
        <v>58</v>
      </c>
      <c r="AA16" s="2"/>
      <c r="AB16" s="2"/>
      <c r="AC16" s="39">
        <v>5</v>
      </c>
      <c r="AD16" s="7"/>
      <c r="AE16" s="26" t="s">
        <v>58</v>
      </c>
      <c r="AF16" s="2"/>
      <c r="AG16" s="2">
        <v>5</v>
      </c>
      <c r="AH16" s="2"/>
      <c r="AI16" s="7"/>
      <c r="AJ16" s="26" t="s">
        <v>58</v>
      </c>
      <c r="AK16" s="2"/>
      <c r="AL16" s="2"/>
      <c r="AM16" s="2">
        <v>4.5</v>
      </c>
      <c r="AN16" s="7"/>
      <c r="AO16" s="26" t="s">
        <v>58</v>
      </c>
      <c r="AP16" s="2"/>
      <c r="AQ16" s="2"/>
      <c r="AR16" s="2">
        <v>5</v>
      </c>
      <c r="AS16" s="7"/>
      <c r="AT16" s="26" t="s">
        <v>58</v>
      </c>
      <c r="AU16" s="2"/>
      <c r="AV16" s="2">
        <v>5</v>
      </c>
      <c r="AW16" s="2">
        <v>5</v>
      </c>
      <c r="AX16" s="7"/>
      <c r="AY16" s="26" t="s">
        <v>58</v>
      </c>
      <c r="AZ16" s="43">
        <v>5</v>
      </c>
      <c r="BA16" s="2"/>
      <c r="BB16" s="2"/>
      <c r="BC16" s="7"/>
      <c r="BD16" s="26" t="s">
        <v>58</v>
      </c>
      <c r="BE16" s="43">
        <v>5</v>
      </c>
      <c r="BF16" s="2"/>
      <c r="BG16" s="2"/>
      <c r="BH16" s="7"/>
      <c r="BI16" s="26" t="s">
        <v>58</v>
      </c>
      <c r="BJ16" s="43"/>
      <c r="BK16" s="2"/>
      <c r="BL16" s="2"/>
      <c r="BM16" s="7"/>
      <c r="BN16" s="2"/>
      <c r="BO16" s="2"/>
    </row>
    <row r="17" spans="2:67" ht="18" x14ac:dyDescent="0.35">
      <c r="B17" s="20" t="s">
        <v>29</v>
      </c>
      <c r="C17" s="5">
        <v>296112</v>
      </c>
      <c r="D17" s="2" t="s">
        <v>76</v>
      </c>
      <c r="E17" s="4" t="s">
        <v>64</v>
      </c>
      <c r="F17" s="26" t="s">
        <v>58</v>
      </c>
      <c r="G17" s="2"/>
      <c r="H17" s="2"/>
      <c r="I17" s="2"/>
      <c r="J17" s="7"/>
      <c r="K17" s="26" t="s">
        <v>58</v>
      </c>
      <c r="L17" s="2"/>
      <c r="M17" s="2" t="s">
        <v>104</v>
      </c>
      <c r="N17" s="2"/>
      <c r="O17" s="7"/>
      <c r="P17" s="26" t="s">
        <v>58</v>
      </c>
      <c r="Q17" s="2"/>
      <c r="R17" s="2"/>
      <c r="S17" s="2"/>
      <c r="T17" s="7"/>
      <c r="U17" s="26" t="s">
        <v>58</v>
      </c>
      <c r="V17" s="2"/>
      <c r="W17" s="2"/>
      <c r="X17" s="2"/>
      <c r="Y17" s="7"/>
      <c r="Z17" s="26" t="s">
        <v>58</v>
      </c>
      <c r="AA17" s="2"/>
      <c r="AB17" s="2"/>
      <c r="AC17" s="35">
        <v>5</v>
      </c>
      <c r="AD17" s="7"/>
      <c r="AE17" s="26" t="s">
        <v>58</v>
      </c>
      <c r="AF17" s="2"/>
      <c r="AG17" s="2">
        <v>3.5</v>
      </c>
      <c r="AH17" s="2"/>
      <c r="AI17" s="7"/>
      <c r="AJ17" s="26" t="s">
        <v>58</v>
      </c>
      <c r="AK17" s="2"/>
      <c r="AL17" s="2"/>
      <c r="AM17" s="2">
        <v>3</v>
      </c>
      <c r="AN17" s="42"/>
      <c r="AO17" s="26" t="s">
        <v>103</v>
      </c>
      <c r="AP17" s="2" t="s">
        <v>113</v>
      </c>
      <c r="AQ17" s="2"/>
      <c r="AR17" s="2">
        <v>5</v>
      </c>
      <c r="AS17" s="42"/>
      <c r="AT17" s="26" t="s">
        <v>58</v>
      </c>
      <c r="AU17" s="2"/>
      <c r="AV17" s="2">
        <v>5</v>
      </c>
      <c r="AW17" s="2">
        <v>4</v>
      </c>
      <c r="AX17" s="42"/>
      <c r="AY17" s="26" t="s">
        <v>58</v>
      </c>
      <c r="AZ17" s="43">
        <v>5</v>
      </c>
      <c r="BA17" s="45"/>
      <c r="BB17" s="45"/>
      <c r="BC17" s="46"/>
      <c r="BD17" s="26" t="s">
        <v>58</v>
      </c>
      <c r="BE17" s="43">
        <v>5</v>
      </c>
      <c r="BF17" s="45"/>
      <c r="BG17" s="45"/>
      <c r="BH17" s="46"/>
      <c r="BI17" s="26" t="s">
        <v>58</v>
      </c>
      <c r="BJ17" s="43"/>
      <c r="BK17" s="45"/>
      <c r="BL17" s="45"/>
      <c r="BM17" s="46"/>
      <c r="BN17" s="2"/>
      <c r="BO17" s="2"/>
    </row>
    <row r="18" spans="2:67" x14ac:dyDescent="0.3">
      <c r="B18" s="20" t="s">
        <v>30</v>
      </c>
      <c r="C18" s="5">
        <v>296108</v>
      </c>
      <c r="D18" s="2" t="s">
        <v>77</v>
      </c>
      <c r="E18" s="4" t="s">
        <v>78</v>
      </c>
      <c r="F18" s="26" t="s">
        <v>58</v>
      </c>
      <c r="G18" s="2"/>
      <c r="H18" s="2"/>
      <c r="I18" s="2"/>
      <c r="J18" s="7"/>
      <c r="K18" s="26" t="s">
        <v>58</v>
      </c>
      <c r="L18" s="2"/>
      <c r="M18" s="2" t="s">
        <v>104</v>
      </c>
      <c r="N18" s="2"/>
      <c r="O18" s="7"/>
      <c r="P18" s="26" t="s">
        <v>58</v>
      </c>
      <c r="Q18" s="2"/>
      <c r="R18" s="2"/>
      <c r="S18" s="2"/>
      <c r="T18" s="7"/>
      <c r="U18" s="26" t="s">
        <v>58</v>
      </c>
      <c r="V18" s="2"/>
      <c r="W18" s="2"/>
      <c r="X18" s="2"/>
      <c r="Y18" s="7"/>
      <c r="Z18" s="26" t="s">
        <v>58</v>
      </c>
      <c r="AA18" s="2"/>
      <c r="AB18" s="2"/>
      <c r="AC18" s="35">
        <v>5</v>
      </c>
      <c r="AD18" s="7"/>
      <c r="AE18" s="26" t="s">
        <v>58</v>
      </c>
      <c r="AF18" s="2"/>
      <c r="AG18" s="2">
        <v>4</v>
      </c>
      <c r="AH18" s="2"/>
      <c r="AI18" s="7"/>
      <c r="AJ18" s="26" t="s">
        <v>58</v>
      </c>
      <c r="AK18" s="2"/>
      <c r="AL18" s="2"/>
      <c r="AM18" s="2">
        <v>5</v>
      </c>
      <c r="AN18" s="7"/>
      <c r="AO18" s="26" t="s">
        <v>58</v>
      </c>
      <c r="AP18" s="2"/>
      <c r="AQ18" s="2"/>
      <c r="AR18" s="2">
        <v>5</v>
      </c>
      <c r="AS18" s="7"/>
      <c r="AT18" s="26" t="s">
        <v>58</v>
      </c>
      <c r="AU18" s="2"/>
      <c r="AV18" s="2">
        <v>5</v>
      </c>
      <c r="AW18" s="2">
        <v>5</v>
      </c>
      <c r="AX18" s="7"/>
      <c r="AY18" s="26" t="s">
        <v>58</v>
      </c>
      <c r="AZ18" s="43">
        <v>5</v>
      </c>
      <c r="BA18" s="45"/>
      <c r="BB18" s="45"/>
      <c r="BC18" s="47"/>
      <c r="BD18" s="26" t="s">
        <v>58</v>
      </c>
      <c r="BE18" s="43">
        <v>4.5</v>
      </c>
      <c r="BF18" s="45"/>
      <c r="BG18" s="45"/>
      <c r="BH18" s="47"/>
      <c r="BI18" s="26" t="s">
        <v>58</v>
      </c>
      <c r="BJ18" s="43"/>
      <c r="BK18" s="45"/>
      <c r="BL18" s="45"/>
      <c r="BM18" s="47"/>
      <c r="BN18" s="2"/>
      <c r="BO18" s="2"/>
    </row>
    <row r="19" spans="2:67" x14ac:dyDescent="0.3">
      <c r="B19" s="20" t="s">
        <v>31</v>
      </c>
      <c r="C19" s="5">
        <v>292571</v>
      </c>
      <c r="D19" s="2" t="s">
        <v>79</v>
      </c>
      <c r="E19" s="4" t="s">
        <v>67</v>
      </c>
      <c r="F19" s="26" t="s">
        <v>58</v>
      </c>
      <c r="G19" s="2"/>
      <c r="H19" s="2"/>
      <c r="I19" s="2"/>
      <c r="J19" s="7"/>
      <c r="K19" s="26" t="s">
        <v>58</v>
      </c>
      <c r="L19" s="2">
        <v>5</v>
      </c>
      <c r="M19" s="2" t="s">
        <v>104</v>
      </c>
      <c r="N19" s="2"/>
      <c r="O19" s="7"/>
      <c r="P19" s="26" t="s">
        <v>58</v>
      </c>
      <c r="Q19" s="2">
        <v>5</v>
      </c>
      <c r="R19" s="2"/>
      <c r="S19" s="2"/>
      <c r="T19" s="7"/>
      <c r="U19" s="26" t="s">
        <v>58</v>
      </c>
      <c r="V19" s="2"/>
      <c r="W19" s="2"/>
      <c r="X19" s="2"/>
      <c r="Y19" s="7"/>
      <c r="Z19" s="26" t="s">
        <v>58</v>
      </c>
      <c r="AA19" s="2"/>
      <c r="AB19" s="2"/>
      <c r="AC19" s="35">
        <v>5</v>
      </c>
      <c r="AD19" s="7"/>
      <c r="AE19" s="26" t="s">
        <v>58</v>
      </c>
      <c r="AF19" s="2"/>
      <c r="AG19" s="2">
        <v>4</v>
      </c>
      <c r="AH19" s="2"/>
      <c r="AI19" s="7"/>
      <c r="AJ19" s="26" t="s">
        <v>58</v>
      </c>
      <c r="AK19" s="2"/>
      <c r="AL19" s="2"/>
      <c r="AM19" s="2">
        <v>3</v>
      </c>
      <c r="AN19" s="7"/>
      <c r="AO19" s="26" t="s">
        <v>58</v>
      </c>
      <c r="AP19" s="2"/>
      <c r="AQ19" s="2"/>
      <c r="AR19" s="2">
        <v>5</v>
      </c>
      <c r="AS19" s="7"/>
      <c r="AT19" s="26" t="s">
        <v>58</v>
      </c>
      <c r="AU19" s="2"/>
      <c r="AV19" s="2">
        <v>4.5</v>
      </c>
      <c r="AW19" s="2">
        <v>4</v>
      </c>
      <c r="AX19" s="7"/>
      <c r="AY19" s="26" t="s">
        <v>103</v>
      </c>
      <c r="AZ19" s="43">
        <v>5</v>
      </c>
      <c r="BA19" s="45"/>
      <c r="BB19" s="45"/>
      <c r="BC19" s="47"/>
      <c r="BD19" s="26" t="s">
        <v>58</v>
      </c>
      <c r="BE19" s="43">
        <v>5</v>
      </c>
      <c r="BF19" s="45"/>
      <c r="BG19" s="45"/>
      <c r="BH19" s="47"/>
      <c r="BI19" s="26" t="s">
        <v>58</v>
      </c>
      <c r="BJ19" s="43"/>
      <c r="BK19" s="45"/>
      <c r="BL19" s="45"/>
      <c r="BM19" s="47"/>
      <c r="BN19" s="2"/>
      <c r="BO19" s="2"/>
    </row>
    <row r="20" spans="2:67" x14ac:dyDescent="0.3">
      <c r="B20" s="20" t="s">
        <v>32</v>
      </c>
      <c r="C20" s="40">
        <v>292583</v>
      </c>
      <c r="D20" s="35" t="s">
        <v>80</v>
      </c>
      <c r="E20" s="41" t="s">
        <v>81</v>
      </c>
      <c r="F20" s="32" t="s">
        <v>58</v>
      </c>
      <c r="G20" s="31"/>
      <c r="H20" s="31"/>
      <c r="I20" s="31"/>
      <c r="J20" s="33"/>
      <c r="K20" s="32" t="s">
        <v>103</v>
      </c>
      <c r="L20" s="31"/>
      <c r="M20" s="31"/>
      <c r="N20" s="31"/>
      <c r="O20" s="33"/>
      <c r="P20" s="32" t="s">
        <v>103</v>
      </c>
      <c r="Q20" s="31"/>
      <c r="R20" s="31"/>
      <c r="S20" s="31"/>
      <c r="T20" s="33"/>
      <c r="U20" s="32" t="s">
        <v>58</v>
      </c>
      <c r="V20" s="31"/>
      <c r="W20" s="31"/>
      <c r="X20" s="31"/>
      <c r="Y20" s="33"/>
      <c r="Z20" s="32" t="s">
        <v>103</v>
      </c>
      <c r="AA20" s="2"/>
      <c r="AB20" s="2"/>
      <c r="AC20" s="35">
        <v>4</v>
      </c>
      <c r="AD20" s="7"/>
      <c r="AE20" s="32" t="s">
        <v>58</v>
      </c>
      <c r="AF20" s="2"/>
      <c r="AG20" s="2">
        <v>4.5</v>
      </c>
      <c r="AH20" s="2"/>
      <c r="AI20" s="7"/>
      <c r="AJ20" s="32" t="s">
        <v>58</v>
      </c>
      <c r="AK20" s="2"/>
      <c r="AL20" s="2"/>
      <c r="AM20" s="2">
        <v>5</v>
      </c>
      <c r="AN20" s="7"/>
      <c r="AO20" s="32" t="s">
        <v>58</v>
      </c>
      <c r="AP20" s="2"/>
      <c r="AQ20" s="2"/>
      <c r="AR20" s="2">
        <v>4.5</v>
      </c>
      <c r="AS20" s="7"/>
      <c r="AT20" s="34" t="s">
        <v>103</v>
      </c>
      <c r="AU20" s="35"/>
      <c r="AV20" s="35"/>
      <c r="AW20" s="35">
        <v>5</v>
      </c>
      <c r="AX20" s="36"/>
      <c r="AY20" s="34" t="s">
        <v>103</v>
      </c>
      <c r="AZ20" s="43"/>
      <c r="BA20" s="45"/>
      <c r="BB20" s="45"/>
      <c r="BC20" s="47"/>
      <c r="BD20" s="34" t="s">
        <v>103</v>
      </c>
      <c r="BE20" s="43"/>
      <c r="BF20" s="45"/>
      <c r="BG20" s="45"/>
      <c r="BH20" s="47"/>
      <c r="BI20" s="34" t="s">
        <v>103</v>
      </c>
      <c r="BJ20" s="43"/>
      <c r="BK20" s="45"/>
      <c r="BL20" s="45"/>
      <c r="BM20" s="47"/>
      <c r="BN20" s="2"/>
      <c r="BO20" s="2"/>
    </row>
    <row r="21" spans="2:67" x14ac:dyDescent="0.3">
      <c r="B21" s="20" t="s">
        <v>33</v>
      </c>
      <c r="C21" s="5">
        <v>292648</v>
      </c>
      <c r="D21" s="2" t="s">
        <v>82</v>
      </c>
      <c r="E21" s="4" t="s">
        <v>83</v>
      </c>
      <c r="F21" s="26" t="s">
        <v>58</v>
      </c>
      <c r="G21" s="2"/>
      <c r="H21" s="2"/>
      <c r="I21" s="2"/>
      <c r="J21" s="7"/>
      <c r="K21" s="26" t="s">
        <v>58</v>
      </c>
      <c r="L21" s="2"/>
      <c r="M21" s="2">
        <v>2</v>
      </c>
      <c r="N21" s="2"/>
      <c r="O21" s="7"/>
      <c r="P21" s="26" t="s">
        <v>58</v>
      </c>
      <c r="Q21" s="2"/>
      <c r="R21" s="2"/>
      <c r="S21" s="2"/>
      <c r="T21" s="7"/>
      <c r="U21" s="26" t="s">
        <v>58</v>
      </c>
      <c r="V21" s="2"/>
      <c r="W21" s="2"/>
      <c r="X21" s="2"/>
      <c r="Y21" s="7"/>
      <c r="Z21" s="26" t="s">
        <v>58</v>
      </c>
      <c r="AA21" s="2"/>
      <c r="AB21" s="2"/>
      <c r="AC21" s="35">
        <v>5</v>
      </c>
      <c r="AD21" s="7"/>
      <c r="AE21" s="26" t="s">
        <v>58</v>
      </c>
      <c r="AF21" s="2"/>
      <c r="AG21" s="2">
        <v>3</v>
      </c>
      <c r="AH21" s="2"/>
      <c r="AI21" s="7"/>
      <c r="AJ21" s="26" t="s">
        <v>58</v>
      </c>
      <c r="AK21" s="2"/>
      <c r="AL21" s="2"/>
      <c r="AM21" s="2">
        <v>5</v>
      </c>
      <c r="AN21" s="7"/>
      <c r="AO21" s="26" t="s">
        <v>58</v>
      </c>
      <c r="AP21" s="2"/>
      <c r="AQ21" s="2"/>
      <c r="AR21" s="2">
        <v>4</v>
      </c>
      <c r="AS21" s="7"/>
      <c r="AT21" s="26" t="s">
        <v>58</v>
      </c>
      <c r="AU21" s="2"/>
      <c r="AV21" s="2">
        <v>3.5</v>
      </c>
      <c r="AW21" s="2">
        <v>4.5</v>
      </c>
      <c r="AX21" s="7"/>
      <c r="AY21" s="26" t="s">
        <v>58</v>
      </c>
      <c r="AZ21" s="43">
        <v>5</v>
      </c>
      <c r="BA21" s="45"/>
      <c r="BB21" s="45"/>
      <c r="BC21" s="47"/>
      <c r="BD21" s="26" t="s">
        <v>58</v>
      </c>
      <c r="BE21" s="43">
        <v>2</v>
      </c>
      <c r="BF21" s="45"/>
      <c r="BG21" s="45"/>
      <c r="BH21" s="47"/>
      <c r="BI21" s="26" t="s">
        <v>58</v>
      </c>
      <c r="BJ21" s="43"/>
      <c r="BK21" s="45"/>
      <c r="BL21" s="45"/>
      <c r="BM21" s="47"/>
      <c r="BN21" s="2"/>
      <c r="BO21" s="2"/>
    </row>
    <row r="22" spans="2:67" x14ac:dyDescent="0.3">
      <c r="B22" s="20" t="s">
        <v>34</v>
      </c>
      <c r="C22" s="5">
        <v>292572</v>
      </c>
      <c r="D22" s="2" t="s">
        <v>84</v>
      </c>
      <c r="E22" s="4" t="s">
        <v>83</v>
      </c>
      <c r="F22" s="27" t="s">
        <v>58</v>
      </c>
      <c r="G22" s="2"/>
      <c r="H22" s="2"/>
      <c r="I22" s="2"/>
      <c r="J22" s="7"/>
      <c r="K22" s="27" t="s">
        <v>58</v>
      </c>
      <c r="L22" s="2"/>
      <c r="M22" s="2" t="s">
        <v>104</v>
      </c>
      <c r="N22" s="2"/>
      <c r="O22" s="7"/>
      <c r="P22" s="27" t="s">
        <v>58</v>
      </c>
      <c r="Q22" s="2"/>
      <c r="R22" s="2"/>
      <c r="S22" s="2"/>
      <c r="T22" s="7"/>
      <c r="U22" s="27" t="s">
        <v>58</v>
      </c>
      <c r="V22" s="2"/>
      <c r="W22" s="2"/>
      <c r="X22" s="2"/>
      <c r="Y22" s="7"/>
      <c r="Z22" s="27" t="s">
        <v>58</v>
      </c>
      <c r="AA22" s="2"/>
      <c r="AB22" s="2"/>
      <c r="AC22" s="35">
        <v>4</v>
      </c>
      <c r="AD22" s="7"/>
      <c r="AE22" s="27" t="s">
        <v>58</v>
      </c>
      <c r="AF22" s="2"/>
      <c r="AG22" s="2">
        <v>4.5</v>
      </c>
      <c r="AH22" s="2"/>
      <c r="AI22" s="7"/>
      <c r="AJ22" s="27" t="s">
        <v>58</v>
      </c>
      <c r="AK22" s="2"/>
      <c r="AL22" s="2"/>
      <c r="AM22" s="2">
        <v>4.5</v>
      </c>
      <c r="AN22" s="7"/>
      <c r="AO22" s="27" t="s">
        <v>58</v>
      </c>
      <c r="AP22" s="2"/>
      <c r="AQ22" s="2"/>
      <c r="AR22" s="2">
        <v>5</v>
      </c>
      <c r="AS22" s="7"/>
      <c r="AT22" s="27" t="s">
        <v>58</v>
      </c>
      <c r="AU22" s="2"/>
      <c r="AV22" s="2">
        <v>3</v>
      </c>
      <c r="AW22" s="2">
        <v>4</v>
      </c>
      <c r="AX22" s="7"/>
      <c r="AY22" s="27" t="s">
        <v>58</v>
      </c>
      <c r="AZ22" s="43">
        <v>5</v>
      </c>
      <c r="BA22" s="45"/>
      <c r="BB22" s="45"/>
      <c r="BC22" s="47"/>
      <c r="BD22" s="27" t="s">
        <v>58</v>
      </c>
      <c r="BE22" s="43">
        <v>5</v>
      </c>
      <c r="BF22" s="45"/>
      <c r="BG22" s="45"/>
      <c r="BH22" s="47"/>
      <c r="BI22" s="27" t="s">
        <v>58</v>
      </c>
      <c r="BJ22" s="43"/>
      <c r="BK22" s="45"/>
      <c r="BL22" s="45"/>
      <c r="BM22" s="47"/>
      <c r="BN22" s="2"/>
      <c r="BO22" s="2"/>
    </row>
    <row r="23" spans="2:67" x14ac:dyDescent="0.3">
      <c r="B23" s="20" t="s">
        <v>35</v>
      </c>
      <c r="C23" s="5">
        <v>292617</v>
      </c>
      <c r="D23" s="2" t="s">
        <v>85</v>
      </c>
      <c r="E23" s="4" t="s">
        <v>86</v>
      </c>
      <c r="F23" s="26" t="s">
        <v>58</v>
      </c>
      <c r="G23" s="2"/>
      <c r="H23" s="2"/>
      <c r="I23" s="2"/>
      <c r="J23" s="7"/>
      <c r="K23" s="26" t="s">
        <v>58</v>
      </c>
      <c r="L23" s="2"/>
      <c r="M23" s="2" t="s">
        <v>104</v>
      </c>
      <c r="N23" s="2"/>
      <c r="O23" s="7"/>
      <c r="P23" s="26" t="s">
        <v>58</v>
      </c>
      <c r="Q23" s="2"/>
      <c r="R23" s="2"/>
      <c r="S23" s="2"/>
      <c r="T23" s="7"/>
      <c r="U23" s="26" t="s">
        <v>58</v>
      </c>
      <c r="V23" s="2"/>
      <c r="W23" s="2"/>
      <c r="X23" s="2"/>
      <c r="Y23" s="7"/>
      <c r="Z23" s="26" t="s">
        <v>58</v>
      </c>
      <c r="AA23" s="2"/>
      <c r="AB23" s="2"/>
      <c r="AC23" s="35">
        <v>5</v>
      </c>
      <c r="AD23" s="7"/>
      <c r="AE23" s="26" t="s">
        <v>58</v>
      </c>
      <c r="AF23" s="2"/>
      <c r="AG23" s="2">
        <v>3</v>
      </c>
      <c r="AH23" s="2"/>
      <c r="AI23" s="7"/>
      <c r="AJ23" s="26" t="s">
        <v>58</v>
      </c>
      <c r="AK23" s="2"/>
      <c r="AL23" s="2"/>
      <c r="AM23" s="2">
        <v>5</v>
      </c>
      <c r="AN23" s="7"/>
      <c r="AO23" s="26" t="s">
        <v>58</v>
      </c>
      <c r="AP23" s="2"/>
      <c r="AQ23" s="2"/>
      <c r="AR23" s="2">
        <v>4</v>
      </c>
      <c r="AS23" s="7"/>
      <c r="AT23" s="26" t="s">
        <v>58</v>
      </c>
      <c r="AU23" s="2"/>
      <c r="AV23" s="2">
        <v>5</v>
      </c>
      <c r="AW23" s="2">
        <v>4.5</v>
      </c>
      <c r="AX23" s="7"/>
      <c r="AY23" s="26" t="s">
        <v>58</v>
      </c>
      <c r="AZ23" s="43">
        <v>5</v>
      </c>
      <c r="BA23" s="45"/>
      <c r="BB23" s="45"/>
      <c r="BC23" s="47"/>
      <c r="BD23" s="26" t="s">
        <v>58</v>
      </c>
      <c r="BE23" s="43">
        <v>2</v>
      </c>
      <c r="BF23" s="45"/>
      <c r="BG23" s="45"/>
      <c r="BH23" s="47"/>
      <c r="BI23" s="26" t="s">
        <v>58</v>
      </c>
      <c r="BJ23" s="43"/>
      <c r="BK23" s="45"/>
      <c r="BL23" s="45"/>
      <c r="BM23" s="47"/>
      <c r="BN23" s="2"/>
      <c r="BO23" s="2"/>
    </row>
    <row r="24" spans="2:67" ht="15" thickBot="1" x14ac:dyDescent="0.35">
      <c r="B24" s="20" t="s">
        <v>36</v>
      </c>
      <c r="C24" s="10">
        <v>292577</v>
      </c>
      <c r="D24" s="8" t="s">
        <v>87</v>
      </c>
      <c r="E24" s="23" t="s">
        <v>65</v>
      </c>
      <c r="F24" s="27" t="s">
        <v>58</v>
      </c>
      <c r="G24" s="8"/>
      <c r="H24" s="8"/>
      <c r="I24" s="8"/>
      <c r="J24" s="9"/>
      <c r="K24" s="27" t="s">
        <v>58</v>
      </c>
      <c r="L24" s="8">
        <v>5</v>
      </c>
      <c r="M24" s="8" t="s">
        <v>104</v>
      </c>
      <c r="N24" s="8"/>
      <c r="O24" s="9"/>
      <c r="P24" s="27" t="s">
        <v>58</v>
      </c>
      <c r="Q24" s="8">
        <v>5</v>
      </c>
      <c r="R24" s="8"/>
      <c r="S24" s="8"/>
      <c r="T24" s="9"/>
      <c r="U24" s="27" t="s">
        <v>58</v>
      </c>
      <c r="V24" s="8"/>
      <c r="W24" s="8"/>
      <c r="X24" s="8"/>
      <c r="Y24" s="9"/>
      <c r="Z24" s="27" t="s">
        <v>58</v>
      </c>
      <c r="AA24" s="8"/>
      <c r="AB24" s="8"/>
      <c r="AC24" s="38">
        <v>4</v>
      </c>
      <c r="AD24" s="9"/>
      <c r="AE24" s="27" t="s">
        <v>58</v>
      </c>
      <c r="AF24" s="8"/>
      <c r="AG24" s="8">
        <v>4.5</v>
      </c>
      <c r="AH24" s="8"/>
      <c r="AI24" s="9"/>
      <c r="AJ24" s="27" t="s">
        <v>58</v>
      </c>
      <c r="AK24" s="8"/>
      <c r="AL24" s="8"/>
      <c r="AM24" s="8">
        <v>5</v>
      </c>
      <c r="AN24" s="9"/>
      <c r="AO24" s="27" t="s">
        <v>58</v>
      </c>
      <c r="AP24" s="8"/>
      <c r="AQ24" s="8"/>
      <c r="AR24" s="8">
        <v>5</v>
      </c>
      <c r="AS24" s="9"/>
      <c r="AT24" s="27" t="s">
        <v>58</v>
      </c>
      <c r="AU24" s="8"/>
      <c r="AV24" s="8">
        <v>4.5</v>
      </c>
      <c r="AW24" s="8">
        <v>4</v>
      </c>
      <c r="AX24" s="9"/>
      <c r="AY24" s="27" t="s">
        <v>58</v>
      </c>
      <c r="AZ24" s="44">
        <v>5</v>
      </c>
      <c r="BA24" s="48"/>
      <c r="BB24" s="48"/>
      <c r="BC24" s="49"/>
      <c r="BD24" s="27" t="s">
        <v>58</v>
      </c>
      <c r="BE24" s="44">
        <v>4.5</v>
      </c>
      <c r="BF24" s="48"/>
      <c r="BG24" s="48"/>
      <c r="BH24" s="49"/>
      <c r="BI24" s="27" t="s">
        <v>58</v>
      </c>
      <c r="BJ24" s="44"/>
      <c r="BK24" s="48"/>
      <c r="BL24" s="48"/>
      <c r="BM24" s="49"/>
      <c r="BN24" s="2"/>
      <c r="BO24" s="2"/>
    </row>
    <row r="25" spans="2:67" x14ac:dyDescent="0.3">
      <c r="B25" s="30" t="s">
        <v>39</v>
      </c>
      <c r="C25" s="40">
        <v>292574</v>
      </c>
      <c r="D25" s="35" t="s">
        <v>88</v>
      </c>
      <c r="E25" s="41" t="s">
        <v>67</v>
      </c>
      <c r="F25" s="32" t="s">
        <v>58</v>
      </c>
      <c r="G25" s="31"/>
      <c r="H25" s="31"/>
      <c r="I25" s="31"/>
      <c r="J25" s="33"/>
      <c r="K25" s="32" t="s">
        <v>103</v>
      </c>
      <c r="L25" s="31"/>
      <c r="M25" s="31"/>
      <c r="N25" s="31"/>
      <c r="O25" s="33"/>
      <c r="P25" s="32" t="s">
        <v>103</v>
      </c>
      <c r="Q25" s="31"/>
      <c r="R25" s="31"/>
      <c r="S25" s="31"/>
      <c r="T25" s="33"/>
      <c r="U25" s="32" t="s">
        <v>103</v>
      </c>
      <c r="V25" s="31"/>
      <c r="W25" s="31"/>
      <c r="X25" s="31"/>
      <c r="Y25" s="33"/>
      <c r="Z25" s="32" t="s">
        <v>103</v>
      </c>
      <c r="AA25" s="2"/>
      <c r="AB25" s="2"/>
      <c r="AC25" s="35">
        <v>4</v>
      </c>
      <c r="AD25" s="7"/>
      <c r="AE25" s="34" t="s">
        <v>103</v>
      </c>
      <c r="AF25" s="35"/>
      <c r="AG25" s="35"/>
      <c r="AH25" s="35"/>
      <c r="AI25" s="36"/>
      <c r="AJ25" s="34" t="s">
        <v>103</v>
      </c>
      <c r="AK25" s="35"/>
      <c r="AL25" s="35"/>
      <c r="AM25" s="35">
        <v>5</v>
      </c>
      <c r="AN25" s="36"/>
      <c r="AO25" s="34" t="s">
        <v>103</v>
      </c>
      <c r="AP25" s="35"/>
      <c r="AQ25" s="35"/>
      <c r="AR25" s="35">
        <v>4.5</v>
      </c>
      <c r="AS25" s="36"/>
      <c r="AT25" s="34" t="s">
        <v>103</v>
      </c>
      <c r="AU25" s="35"/>
      <c r="AV25" s="35"/>
      <c r="AW25" s="35">
        <v>5</v>
      </c>
      <c r="AX25" s="36"/>
      <c r="AY25" s="34" t="s">
        <v>103</v>
      </c>
      <c r="AZ25" s="43"/>
      <c r="BA25" s="45"/>
      <c r="BB25" s="45"/>
      <c r="BC25" s="47"/>
      <c r="BD25" s="34" t="s">
        <v>58</v>
      </c>
      <c r="BE25" s="43">
        <v>4.5</v>
      </c>
      <c r="BF25" s="45"/>
      <c r="BG25" s="45"/>
      <c r="BH25" s="47"/>
      <c r="BI25" s="34" t="s">
        <v>58</v>
      </c>
      <c r="BJ25" s="43"/>
      <c r="BK25" s="45"/>
      <c r="BL25" s="45"/>
      <c r="BM25" s="47"/>
      <c r="BN25" s="2"/>
      <c r="BO25" s="2"/>
    </row>
    <row r="26" spans="2:67" x14ac:dyDescent="0.3">
      <c r="B26" s="21" t="s">
        <v>40</v>
      </c>
      <c r="C26" s="5">
        <v>292499</v>
      </c>
      <c r="D26" s="2" t="s">
        <v>89</v>
      </c>
      <c r="E26" s="4" t="s">
        <v>83</v>
      </c>
      <c r="F26" s="27" t="s">
        <v>58</v>
      </c>
      <c r="G26" s="2"/>
      <c r="H26" s="2"/>
      <c r="I26" s="2"/>
      <c r="J26" s="7"/>
      <c r="K26" s="27" t="s">
        <v>58</v>
      </c>
      <c r="L26" s="2"/>
      <c r="M26" s="2" t="s">
        <v>104</v>
      </c>
      <c r="N26" s="2"/>
      <c r="O26" s="7"/>
      <c r="P26" s="27" t="s">
        <v>58</v>
      </c>
      <c r="Q26" s="2"/>
      <c r="R26" s="2"/>
      <c r="S26" s="2"/>
      <c r="T26" s="7"/>
      <c r="U26" s="27" t="s">
        <v>58</v>
      </c>
      <c r="V26" s="2"/>
      <c r="W26" s="2"/>
      <c r="X26" s="2"/>
      <c r="Y26" s="7"/>
      <c r="Z26" s="27" t="s">
        <v>103</v>
      </c>
      <c r="AA26" s="2"/>
      <c r="AB26" s="2"/>
      <c r="AC26" s="2">
        <v>2</v>
      </c>
      <c r="AD26" s="7"/>
      <c r="AE26" s="34" t="s">
        <v>103</v>
      </c>
      <c r="AF26" s="35"/>
      <c r="AG26" s="35"/>
      <c r="AH26" s="35"/>
      <c r="AI26" s="36"/>
      <c r="AJ26" s="34" t="s">
        <v>103</v>
      </c>
      <c r="AK26" s="35"/>
      <c r="AL26" s="35"/>
      <c r="AM26" s="35"/>
      <c r="AN26" s="36"/>
      <c r="AO26" s="34" t="s">
        <v>58</v>
      </c>
      <c r="AP26" s="35"/>
      <c r="AQ26" s="35"/>
      <c r="AR26" s="35">
        <v>4</v>
      </c>
      <c r="AS26" s="36"/>
      <c r="AT26" s="34" t="s">
        <v>58</v>
      </c>
      <c r="AU26" s="35"/>
      <c r="AV26" s="35">
        <v>3.5</v>
      </c>
      <c r="AW26" s="35">
        <v>3</v>
      </c>
      <c r="AX26" s="36"/>
      <c r="AY26" s="34" t="s">
        <v>103</v>
      </c>
      <c r="AZ26" s="43" t="s">
        <v>125</v>
      </c>
      <c r="BA26" s="45"/>
      <c r="BB26" s="45"/>
      <c r="BC26" s="47"/>
      <c r="BD26" s="34" t="s">
        <v>103</v>
      </c>
      <c r="BE26" s="43" t="s">
        <v>125</v>
      </c>
      <c r="BF26" s="45"/>
      <c r="BG26" s="45"/>
      <c r="BH26" s="47"/>
      <c r="BI26" s="34" t="s">
        <v>103</v>
      </c>
      <c r="BJ26" s="43"/>
      <c r="BK26" s="45"/>
      <c r="BL26" s="45"/>
      <c r="BM26" s="47"/>
      <c r="BN26" s="2"/>
      <c r="BO26" s="2"/>
    </row>
    <row r="27" spans="2:67" x14ac:dyDescent="0.3">
      <c r="B27" s="21" t="s">
        <v>41</v>
      </c>
      <c r="C27" s="5">
        <v>295982</v>
      </c>
      <c r="D27" s="2" t="s">
        <v>90</v>
      </c>
      <c r="E27" s="4" t="s">
        <v>91</v>
      </c>
      <c r="F27" s="26" t="s">
        <v>58</v>
      </c>
      <c r="G27" s="2"/>
      <c r="H27" s="2"/>
      <c r="I27" s="2"/>
      <c r="J27" s="7"/>
      <c r="K27" s="26" t="s">
        <v>103</v>
      </c>
      <c r="L27" s="2" t="s">
        <v>110</v>
      </c>
      <c r="M27" s="2" t="s">
        <v>104</v>
      </c>
      <c r="N27" s="2"/>
      <c r="O27" s="7"/>
      <c r="P27" s="26" t="s">
        <v>58</v>
      </c>
      <c r="Q27" s="2"/>
      <c r="R27" s="2"/>
      <c r="S27" s="2"/>
      <c r="T27" s="7"/>
      <c r="U27" s="26" t="s">
        <v>58</v>
      </c>
      <c r="V27" s="2"/>
      <c r="W27" s="2"/>
      <c r="X27" s="2"/>
      <c r="Y27" s="7"/>
      <c r="Z27" s="26" t="s">
        <v>58</v>
      </c>
      <c r="AA27" s="2"/>
      <c r="AB27" s="2"/>
      <c r="AC27" s="2">
        <v>2</v>
      </c>
      <c r="AD27" s="7"/>
      <c r="AE27" s="34" t="s">
        <v>103</v>
      </c>
      <c r="AF27" s="35"/>
      <c r="AG27" s="35"/>
      <c r="AH27" s="35"/>
      <c r="AI27" s="36"/>
      <c r="AJ27" s="34" t="s">
        <v>103</v>
      </c>
      <c r="AK27" s="35"/>
      <c r="AL27" s="35"/>
      <c r="AM27" s="35"/>
      <c r="AN27" s="36"/>
      <c r="AO27" s="34" t="s">
        <v>58</v>
      </c>
      <c r="AP27" s="35"/>
      <c r="AQ27" s="35"/>
      <c r="AR27" s="35">
        <v>4</v>
      </c>
      <c r="AS27" s="36"/>
      <c r="AT27" s="34" t="s">
        <v>58</v>
      </c>
      <c r="AU27" s="35"/>
      <c r="AV27" s="35">
        <v>3.5</v>
      </c>
      <c r="AW27" s="35">
        <v>3</v>
      </c>
      <c r="AX27" s="36"/>
      <c r="AY27" s="34" t="s">
        <v>103</v>
      </c>
      <c r="AZ27" s="43"/>
      <c r="BA27" s="45"/>
      <c r="BB27" s="45"/>
      <c r="BC27" s="47"/>
      <c r="BD27" s="34" t="s">
        <v>58</v>
      </c>
      <c r="BE27" s="43">
        <v>2</v>
      </c>
      <c r="BF27" s="45"/>
      <c r="BG27" s="45"/>
      <c r="BH27" s="47"/>
      <c r="BI27" s="34" t="s">
        <v>58</v>
      </c>
      <c r="BJ27" s="43"/>
      <c r="BK27" s="45"/>
      <c r="BL27" s="45"/>
      <c r="BM27" s="47"/>
      <c r="BN27" s="2"/>
      <c r="BO27" s="2"/>
    </row>
    <row r="28" spans="2:67" x14ac:dyDescent="0.3">
      <c r="B28" s="21" t="s">
        <v>42</v>
      </c>
      <c r="C28" s="5">
        <v>292685</v>
      </c>
      <c r="D28" s="2" t="s">
        <v>92</v>
      </c>
      <c r="E28" s="4" t="s">
        <v>93</v>
      </c>
      <c r="F28" s="27" t="s">
        <v>58</v>
      </c>
      <c r="G28" s="2"/>
      <c r="H28" s="2"/>
      <c r="I28" s="2"/>
      <c r="J28" s="7"/>
      <c r="K28" s="27" t="s">
        <v>58</v>
      </c>
      <c r="L28" s="2"/>
      <c r="M28" s="2" t="s">
        <v>104</v>
      </c>
      <c r="N28" s="2"/>
      <c r="O28" s="7"/>
      <c r="P28" s="27" t="s">
        <v>58</v>
      </c>
      <c r="Q28" s="2"/>
      <c r="R28" s="2"/>
      <c r="S28" s="2"/>
      <c r="T28" s="7"/>
      <c r="U28" s="27" t="s">
        <v>103</v>
      </c>
      <c r="V28" s="2" t="s">
        <v>113</v>
      </c>
      <c r="W28" s="2"/>
      <c r="X28" s="2"/>
      <c r="Y28" s="7"/>
      <c r="Z28" s="27" t="s">
        <v>103</v>
      </c>
      <c r="AA28" s="2" t="s">
        <v>113</v>
      </c>
      <c r="AB28" s="2"/>
      <c r="AC28" s="35">
        <v>3</v>
      </c>
      <c r="AD28" s="7"/>
      <c r="AE28" s="27" t="s">
        <v>58</v>
      </c>
      <c r="AF28" s="2"/>
      <c r="AG28" s="2">
        <v>3</v>
      </c>
      <c r="AH28" s="2"/>
      <c r="AI28" s="7"/>
      <c r="AJ28" s="27" t="s">
        <v>58</v>
      </c>
      <c r="AK28" s="2" t="s">
        <v>114</v>
      </c>
      <c r="AL28" s="2"/>
      <c r="AM28" s="2">
        <v>5</v>
      </c>
      <c r="AN28" s="7"/>
      <c r="AO28" s="27" t="s">
        <v>58</v>
      </c>
      <c r="AP28" s="2" t="s">
        <v>114</v>
      </c>
      <c r="AQ28" s="2"/>
      <c r="AR28" s="2">
        <v>5</v>
      </c>
      <c r="AS28" s="7"/>
      <c r="AT28" s="27" t="s">
        <v>58</v>
      </c>
      <c r="AU28" s="2" t="s">
        <v>114</v>
      </c>
      <c r="AV28" s="2">
        <v>4.5</v>
      </c>
      <c r="AW28" s="2">
        <v>5</v>
      </c>
      <c r="AX28" s="7"/>
      <c r="AY28" s="27" t="s">
        <v>58</v>
      </c>
      <c r="AZ28" s="43">
        <v>5</v>
      </c>
      <c r="BA28" s="45"/>
      <c r="BB28" s="45"/>
      <c r="BC28" s="47"/>
      <c r="BD28" s="27" t="s">
        <v>58</v>
      </c>
      <c r="BE28" s="43">
        <v>2</v>
      </c>
      <c r="BF28" s="45"/>
      <c r="BG28" s="45"/>
      <c r="BH28" s="47"/>
      <c r="BI28" s="27" t="s">
        <v>58</v>
      </c>
      <c r="BJ28" s="43"/>
      <c r="BK28" s="45"/>
      <c r="BL28" s="45"/>
      <c r="BM28" s="47"/>
      <c r="BN28" s="2"/>
      <c r="BO28" s="2"/>
    </row>
    <row r="29" spans="2:67" x14ac:dyDescent="0.3">
      <c r="B29" s="21" t="s">
        <v>43</v>
      </c>
      <c r="C29" s="5">
        <v>294495</v>
      </c>
      <c r="D29" s="2" t="s">
        <v>94</v>
      </c>
      <c r="E29" s="4" t="s">
        <v>69</v>
      </c>
      <c r="F29" s="26" t="s">
        <v>58</v>
      </c>
      <c r="G29" s="2"/>
      <c r="H29" s="2"/>
      <c r="I29" s="2"/>
      <c r="J29" s="7"/>
      <c r="K29" s="26" t="s">
        <v>58</v>
      </c>
      <c r="L29" s="2"/>
      <c r="M29" s="2" t="s">
        <v>104</v>
      </c>
      <c r="N29" s="2"/>
      <c r="O29" s="7"/>
      <c r="P29" s="26" t="s">
        <v>58</v>
      </c>
      <c r="Q29" s="2"/>
      <c r="R29" s="2"/>
      <c r="S29" s="2"/>
      <c r="T29" s="7"/>
      <c r="U29" s="26" t="s">
        <v>58</v>
      </c>
      <c r="V29" s="2"/>
      <c r="W29" s="2"/>
      <c r="X29" s="2"/>
      <c r="Y29" s="7"/>
      <c r="Z29" s="26" t="s">
        <v>58</v>
      </c>
      <c r="AA29" s="2"/>
      <c r="AB29" s="2"/>
      <c r="AC29" s="35">
        <v>3</v>
      </c>
      <c r="AD29" s="7"/>
      <c r="AE29" s="26" t="s">
        <v>58</v>
      </c>
      <c r="AF29" s="2"/>
      <c r="AG29" s="2">
        <v>4</v>
      </c>
      <c r="AH29" s="2"/>
      <c r="AI29" s="7"/>
      <c r="AJ29" s="26" t="s">
        <v>58</v>
      </c>
      <c r="AK29" s="2" t="s">
        <v>114</v>
      </c>
      <c r="AL29" s="2"/>
      <c r="AM29" s="2">
        <v>5</v>
      </c>
      <c r="AN29" s="7"/>
      <c r="AO29" s="26" t="s">
        <v>58</v>
      </c>
      <c r="AP29" s="2" t="s">
        <v>114</v>
      </c>
      <c r="AQ29" s="2"/>
      <c r="AR29" s="2">
        <v>5</v>
      </c>
      <c r="AS29" s="7"/>
      <c r="AT29" s="26" t="s">
        <v>58</v>
      </c>
      <c r="AU29" s="2" t="s">
        <v>114</v>
      </c>
      <c r="AV29" s="2">
        <v>4</v>
      </c>
      <c r="AW29" s="2">
        <v>5</v>
      </c>
      <c r="AX29" s="7"/>
      <c r="AY29" s="26" t="s">
        <v>58</v>
      </c>
      <c r="AZ29" s="43">
        <v>5</v>
      </c>
      <c r="BA29" s="45"/>
      <c r="BB29" s="45"/>
      <c r="BC29" s="47"/>
      <c r="BD29" s="26" t="s">
        <v>58</v>
      </c>
      <c r="BE29" s="43">
        <v>2</v>
      </c>
      <c r="BF29" s="45"/>
      <c r="BG29" s="45"/>
      <c r="BH29" s="47"/>
      <c r="BI29" s="26" t="s">
        <v>58</v>
      </c>
      <c r="BJ29" s="43"/>
      <c r="BK29" s="45"/>
      <c r="BL29" s="45"/>
      <c r="BM29" s="47"/>
      <c r="BN29" s="2"/>
      <c r="BO29" s="2"/>
    </row>
    <row r="30" spans="2:67" x14ac:dyDescent="0.3">
      <c r="B30" s="21" t="s">
        <v>44</v>
      </c>
      <c r="C30" s="5">
        <v>295980</v>
      </c>
      <c r="D30" s="2" t="s">
        <v>95</v>
      </c>
      <c r="E30" s="4" t="s">
        <v>86</v>
      </c>
      <c r="F30" s="27" t="s">
        <v>58</v>
      </c>
      <c r="G30" s="2"/>
      <c r="H30" s="2"/>
      <c r="I30" s="2"/>
      <c r="J30" s="7"/>
      <c r="K30" s="27" t="s">
        <v>58</v>
      </c>
      <c r="L30" s="2">
        <v>5</v>
      </c>
      <c r="M30" s="2" t="s">
        <v>104</v>
      </c>
      <c r="N30" s="2"/>
      <c r="O30" s="7"/>
      <c r="P30" s="27" t="s">
        <v>103</v>
      </c>
      <c r="Q30" s="2">
        <v>5</v>
      </c>
      <c r="R30" s="2"/>
      <c r="S30" s="2"/>
      <c r="T30" s="7"/>
      <c r="U30" s="27" t="s">
        <v>103</v>
      </c>
      <c r="V30" s="2"/>
      <c r="W30" s="2"/>
      <c r="X30" s="2"/>
      <c r="Y30" s="7"/>
      <c r="Z30" s="27" t="s">
        <v>103</v>
      </c>
      <c r="AA30" s="2"/>
      <c r="AB30" s="2"/>
      <c r="AC30" s="37">
        <v>5</v>
      </c>
      <c r="AD30" s="7"/>
      <c r="AE30" s="27" t="s">
        <v>58</v>
      </c>
      <c r="AF30" s="2"/>
      <c r="AG30" s="2">
        <v>3.5</v>
      </c>
      <c r="AH30" s="2"/>
      <c r="AI30" s="7"/>
      <c r="AJ30" s="27" t="s">
        <v>58</v>
      </c>
      <c r="AK30" s="2"/>
      <c r="AL30" s="2"/>
      <c r="AM30" s="2">
        <v>5</v>
      </c>
      <c r="AN30" s="7"/>
      <c r="AO30" s="27" t="s">
        <v>103</v>
      </c>
      <c r="AP30" s="2" t="s">
        <v>113</v>
      </c>
      <c r="AQ30" s="2"/>
      <c r="AR30" s="2">
        <v>5</v>
      </c>
      <c r="AS30" s="7"/>
      <c r="AT30" s="27" t="s">
        <v>103</v>
      </c>
      <c r="AU30" s="2"/>
      <c r="AV30" s="2">
        <v>4.5</v>
      </c>
      <c r="AW30" s="2">
        <v>5</v>
      </c>
      <c r="AX30" s="7"/>
      <c r="AY30" s="27" t="s">
        <v>58</v>
      </c>
      <c r="AZ30" s="43">
        <v>5</v>
      </c>
      <c r="BA30" s="45"/>
      <c r="BB30" s="45"/>
      <c r="BC30" s="47"/>
      <c r="BD30" s="27" t="s">
        <v>58</v>
      </c>
      <c r="BE30" s="43">
        <v>3.5</v>
      </c>
      <c r="BF30" s="45"/>
      <c r="BG30" s="45"/>
      <c r="BH30" s="47"/>
      <c r="BI30" s="27" t="s">
        <v>58</v>
      </c>
      <c r="BJ30" s="43"/>
      <c r="BK30" s="45"/>
      <c r="BL30" s="45"/>
      <c r="BM30" s="47"/>
      <c r="BN30" s="2"/>
      <c r="BO30" s="2"/>
    </row>
    <row r="31" spans="2:67" x14ac:dyDescent="0.3">
      <c r="B31" s="21" t="s">
        <v>45</v>
      </c>
      <c r="C31" s="5">
        <v>292586</v>
      </c>
      <c r="D31" s="2" t="s">
        <v>96</v>
      </c>
      <c r="E31" s="4" t="s">
        <v>97</v>
      </c>
      <c r="F31" s="26" t="s">
        <v>58</v>
      </c>
      <c r="G31" s="2"/>
      <c r="H31" s="2"/>
      <c r="I31" s="2"/>
      <c r="J31" s="7"/>
      <c r="K31" s="26" t="s">
        <v>58</v>
      </c>
      <c r="L31" s="2">
        <v>5</v>
      </c>
      <c r="M31" s="2" t="s">
        <v>104</v>
      </c>
      <c r="N31" s="2"/>
      <c r="O31" s="7"/>
      <c r="P31" s="26" t="s">
        <v>58</v>
      </c>
      <c r="Q31" s="2">
        <v>5</v>
      </c>
      <c r="R31" s="2"/>
      <c r="S31" s="2"/>
      <c r="T31" s="7"/>
      <c r="U31" s="26" t="s">
        <v>58</v>
      </c>
      <c r="V31" s="2"/>
      <c r="W31" s="2"/>
      <c r="X31" s="2"/>
      <c r="Y31" s="7"/>
      <c r="Z31" s="26" t="s">
        <v>58</v>
      </c>
      <c r="AA31" s="2"/>
      <c r="AB31" s="2"/>
      <c r="AC31" s="35">
        <v>5</v>
      </c>
      <c r="AD31" s="7"/>
      <c r="AE31" s="26" t="s">
        <v>58</v>
      </c>
      <c r="AF31" s="2"/>
      <c r="AG31" s="2">
        <v>3.5</v>
      </c>
      <c r="AH31" s="2"/>
      <c r="AI31" s="7"/>
      <c r="AJ31" s="26" t="s">
        <v>58</v>
      </c>
      <c r="AK31" s="2"/>
      <c r="AL31" s="2"/>
      <c r="AM31" s="2">
        <v>5</v>
      </c>
      <c r="AN31" s="7"/>
      <c r="AO31" s="26" t="s">
        <v>58</v>
      </c>
      <c r="AP31" s="2"/>
      <c r="AQ31" s="2"/>
      <c r="AR31" s="2">
        <v>5</v>
      </c>
      <c r="AS31" s="7"/>
      <c r="AT31" s="26" t="s">
        <v>58</v>
      </c>
      <c r="AU31" s="2"/>
      <c r="AV31" s="2">
        <v>5</v>
      </c>
      <c r="AW31" s="2">
        <v>5</v>
      </c>
      <c r="AX31" s="7"/>
      <c r="AY31" s="26" t="s">
        <v>58</v>
      </c>
      <c r="AZ31" s="43">
        <v>5</v>
      </c>
      <c r="BA31" s="45"/>
      <c r="BB31" s="45"/>
      <c r="BC31" s="47"/>
      <c r="BD31" s="26" t="s">
        <v>58</v>
      </c>
      <c r="BE31" s="43">
        <v>4.5</v>
      </c>
      <c r="BF31" s="45"/>
      <c r="BG31" s="45"/>
      <c r="BH31" s="47"/>
      <c r="BI31" s="26" t="s">
        <v>58</v>
      </c>
      <c r="BJ31" s="43"/>
      <c r="BK31" s="45"/>
      <c r="BL31" s="45"/>
      <c r="BM31" s="47"/>
      <c r="BN31" s="2"/>
      <c r="BO31" s="2"/>
    </row>
    <row r="32" spans="2:67" x14ac:dyDescent="0.3">
      <c r="B32" s="21" t="s">
        <v>46</v>
      </c>
      <c r="C32" s="5">
        <v>292611</v>
      </c>
      <c r="D32" s="2" t="s">
        <v>98</v>
      </c>
      <c r="E32" s="4" t="s">
        <v>99</v>
      </c>
      <c r="F32" s="27" t="s">
        <v>58</v>
      </c>
      <c r="G32" s="2"/>
      <c r="H32" s="2"/>
      <c r="I32" s="2"/>
      <c r="J32" s="7"/>
      <c r="K32" s="27" t="s">
        <v>58</v>
      </c>
      <c r="L32" s="2">
        <v>5</v>
      </c>
      <c r="M32" s="2" t="s">
        <v>104</v>
      </c>
      <c r="N32" s="2"/>
      <c r="O32" s="7"/>
      <c r="P32" s="27" t="s">
        <v>58</v>
      </c>
      <c r="Q32" s="2">
        <v>5</v>
      </c>
      <c r="R32" s="2"/>
      <c r="S32" s="2"/>
      <c r="T32" s="7"/>
      <c r="U32" s="27" t="s">
        <v>58</v>
      </c>
      <c r="V32" s="2"/>
      <c r="W32" s="2"/>
      <c r="X32" s="2"/>
      <c r="Y32" s="7"/>
      <c r="Z32" s="27" t="s">
        <v>58</v>
      </c>
      <c r="AA32" s="2"/>
      <c r="AB32" s="2"/>
      <c r="AC32" s="35">
        <v>5</v>
      </c>
      <c r="AD32" s="7"/>
      <c r="AE32" s="27" t="s">
        <v>58</v>
      </c>
      <c r="AF32" s="2"/>
      <c r="AG32" s="2">
        <v>3.5</v>
      </c>
      <c r="AH32" s="2"/>
      <c r="AI32" s="7"/>
      <c r="AJ32" s="27" t="s">
        <v>58</v>
      </c>
      <c r="AK32" s="2"/>
      <c r="AL32" s="2"/>
      <c r="AM32" s="2">
        <v>5</v>
      </c>
      <c r="AN32" s="7"/>
      <c r="AO32" s="27" t="s">
        <v>58</v>
      </c>
      <c r="AP32" s="2"/>
      <c r="AQ32" s="2"/>
      <c r="AR32" s="2">
        <v>5</v>
      </c>
      <c r="AS32" s="7"/>
      <c r="AT32" s="27" t="s">
        <v>58</v>
      </c>
      <c r="AU32" s="2"/>
      <c r="AV32" s="2">
        <v>3</v>
      </c>
      <c r="AW32" s="2">
        <v>5</v>
      </c>
      <c r="AX32" s="7"/>
      <c r="AY32" s="27" t="s">
        <v>58</v>
      </c>
      <c r="AZ32" s="43">
        <v>5</v>
      </c>
      <c r="BA32" s="45"/>
      <c r="BB32" s="45"/>
      <c r="BC32" s="47"/>
      <c r="BD32" s="27" t="s">
        <v>58</v>
      </c>
      <c r="BE32" s="43">
        <v>4</v>
      </c>
      <c r="BF32" s="45"/>
      <c r="BG32" s="45"/>
      <c r="BH32" s="47"/>
      <c r="BI32" s="27" t="s">
        <v>58</v>
      </c>
      <c r="BJ32" s="43"/>
      <c r="BK32" s="45"/>
      <c r="BL32" s="45"/>
      <c r="BM32" s="47"/>
      <c r="BN32" s="2"/>
      <c r="BO32" s="2"/>
    </row>
    <row r="33" spans="2:67" x14ac:dyDescent="0.3">
      <c r="B33" s="21" t="s">
        <v>47</v>
      </c>
      <c r="C33" s="5">
        <v>292644</v>
      </c>
      <c r="D33" s="2" t="s">
        <v>100</v>
      </c>
      <c r="E33" s="4" t="s">
        <v>66</v>
      </c>
      <c r="F33" s="26" t="s">
        <v>58</v>
      </c>
      <c r="G33" s="2"/>
      <c r="H33" s="2"/>
      <c r="I33" s="2"/>
      <c r="J33" s="7"/>
      <c r="K33" s="26" t="s">
        <v>103</v>
      </c>
      <c r="L33" s="2" t="s">
        <v>110</v>
      </c>
      <c r="M33" s="2" t="s">
        <v>104</v>
      </c>
      <c r="N33" s="2"/>
      <c r="O33" s="7"/>
      <c r="P33" s="26" t="s">
        <v>58</v>
      </c>
      <c r="Q33" s="2"/>
      <c r="R33" s="2"/>
      <c r="S33" s="2"/>
      <c r="T33" s="7"/>
      <c r="U33" s="26" t="s">
        <v>58</v>
      </c>
      <c r="V33" s="2"/>
      <c r="W33" s="2"/>
      <c r="X33" s="2"/>
      <c r="Y33" s="7"/>
      <c r="Z33" s="26" t="s">
        <v>58</v>
      </c>
      <c r="AA33" s="2"/>
      <c r="AB33" s="2"/>
      <c r="AC33" s="35">
        <v>5</v>
      </c>
      <c r="AD33" s="7"/>
      <c r="AE33" s="26" t="s">
        <v>58</v>
      </c>
      <c r="AF33" s="2"/>
      <c r="AG33" s="2">
        <v>5</v>
      </c>
      <c r="AH33" s="2"/>
      <c r="AI33" s="7"/>
      <c r="AJ33" s="26" t="s">
        <v>58</v>
      </c>
      <c r="AK33" s="2"/>
      <c r="AL33" s="2"/>
      <c r="AM33" s="2">
        <v>5</v>
      </c>
      <c r="AN33" s="7"/>
      <c r="AO33" s="26" t="s">
        <v>58</v>
      </c>
      <c r="AP33" s="2"/>
      <c r="AQ33" s="2"/>
      <c r="AR33" s="2">
        <v>5</v>
      </c>
      <c r="AS33" s="7"/>
      <c r="AT33" s="26" t="s">
        <v>58</v>
      </c>
      <c r="AU33" s="2"/>
      <c r="AV33" s="2">
        <v>4</v>
      </c>
      <c r="AW33" s="2">
        <v>5</v>
      </c>
      <c r="AX33" s="7"/>
      <c r="AY33" s="26" t="s">
        <v>58</v>
      </c>
      <c r="AZ33" s="43">
        <v>5</v>
      </c>
      <c r="BA33" s="45"/>
      <c r="BB33" s="45"/>
      <c r="BC33" s="47"/>
      <c r="BD33" s="26" t="s">
        <v>58</v>
      </c>
      <c r="BE33" s="43">
        <v>4</v>
      </c>
      <c r="BF33" s="45"/>
      <c r="BG33" s="45"/>
      <c r="BH33" s="47"/>
      <c r="BI33" s="26" t="s">
        <v>58</v>
      </c>
      <c r="BJ33" s="43"/>
      <c r="BK33" s="45"/>
      <c r="BL33" s="45"/>
      <c r="BM33" s="47"/>
      <c r="BN33" s="2"/>
      <c r="BO33" s="2"/>
    </row>
    <row r="34" spans="2:67" ht="15" thickBot="1" x14ac:dyDescent="0.35">
      <c r="B34" s="21" t="s">
        <v>48</v>
      </c>
      <c r="C34" s="10"/>
      <c r="D34" s="8"/>
      <c r="E34" s="23"/>
      <c r="F34" s="27"/>
      <c r="G34" s="8"/>
      <c r="H34" s="8"/>
      <c r="I34" s="8"/>
      <c r="J34" s="9"/>
      <c r="K34" s="27"/>
      <c r="L34" s="8"/>
      <c r="M34" s="8"/>
      <c r="N34" s="8"/>
      <c r="O34" s="9"/>
      <c r="P34" s="27"/>
      <c r="Q34" s="8"/>
      <c r="R34" s="8"/>
      <c r="S34" s="8"/>
      <c r="T34" s="9"/>
      <c r="U34" s="27"/>
      <c r="V34" s="8"/>
      <c r="W34" s="8"/>
      <c r="X34" s="8"/>
      <c r="Y34" s="9"/>
      <c r="Z34" s="27"/>
      <c r="AA34" s="8"/>
      <c r="AB34" s="8"/>
      <c r="AC34" s="38"/>
      <c r="AD34" s="9"/>
      <c r="AE34" s="27"/>
      <c r="AF34" s="8"/>
      <c r="AG34" s="8"/>
      <c r="AH34" s="8"/>
      <c r="AI34" s="9"/>
      <c r="AJ34" s="27"/>
      <c r="AK34" s="8"/>
      <c r="AL34" s="8"/>
      <c r="AM34" s="8"/>
      <c r="AN34" s="9"/>
      <c r="AO34" s="27"/>
      <c r="AP34" s="8"/>
      <c r="AQ34" s="8"/>
      <c r="AR34" s="8"/>
      <c r="AS34" s="9"/>
      <c r="AT34" s="27"/>
      <c r="AU34" s="8"/>
      <c r="AV34" s="8"/>
      <c r="AW34" s="8"/>
      <c r="AX34" s="9"/>
      <c r="AY34" s="27"/>
      <c r="AZ34" s="44"/>
      <c r="BA34" s="48"/>
      <c r="BB34" s="48"/>
      <c r="BC34" s="49"/>
      <c r="BD34" s="27"/>
      <c r="BE34" s="44"/>
      <c r="BF34" s="48"/>
      <c r="BG34" s="48"/>
      <c r="BH34" s="49"/>
      <c r="BI34" s="27"/>
      <c r="BJ34" s="44"/>
      <c r="BK34" s="48"/>
      <c r="BL34" s="48"/>
      <c r="BM34" s="49"/>
      <c r="BN34" s="2"/>
      <c r="BO34" s="2"/>
    </row>
    <row r="35" spans="2:67" x14ac:dyDescent="0.3">
      <c r="B35" s="22" t="s">
        <v>49</v>
      </c>
      <c r="C35" s="5"/>
      <c r="D35" s="2"/>
      <c r="E35" s="4"/>
      <c r="F35" s="26"/>
      <c r="G35" s="2"/>
      <c r="H35" s="2"/>
      <c r="I35" s="2"/>
      <c r="J35" s="7"/>
      <c r="K35" s="26"/>
      <c r="L35" s="2"/>
      <c r="M35" s="2"/>
      <c r="N35" s="2"/>
      <c r="O35" s="7"/>
      <c r="P35" s="26"/>
      <c r="Q35" s="2"/>
      <c r="R35" s="2"/>
      <c r="S35" s="2"/>
      <c r="T35" s="7"/>
      <c r="U35" s="26"/>
      <c r="V35" s="2"/>
      <c r="W35" s="2"/>
      <c r="X35" s="2"/>
      <c r="Y35" s="7"/>
      <c r="Z35" s="26"/>
      <c r="AA35" s="2"/>
      <c r="AB35" s="2"/>
      <c r="AC35" s="2"/>
      <c r="AD35" s="7"/>
      <c r="AE35" s="26"/>
      <c r="AF35" s="2"/>
      <c r="AG35" s="2"/>
      <c r="AH35" s="2"/>
      <c r="AI35" s="7"/>
      <c r="AJ35" s="26"/>
      <c r="AK35" s="2"/>
      <c r="AL35" s="2"/>
      <c r="AM35" s="2"/>
      <c r="AN35" s="7"/>
      <c r="AO35" s="26"/>
      <c r="AP35" s="2"/>
      <c r="AQ35" s="2"/>
      <c r="AR35" s="2"/>
      <c r="AS35" s="7"/>
      <c r="AT35" s="26"/>
      <c r="AU35" s="2"/>
      <c r="AV35" s="2"/>
      <c r="AW35" s="2"/>
      <c r="AX35" s="7"/>
      <c r="AY35" s="26"/>
      <c r="AZ35" s="2"/>
      <c r="BA35" s="2"/>
      <c r="BB35" s="2"/>
      <c r="BC35" s="7"/>
      <c r="BD35" s="26"/>
      <c r="BE35" s="2"/>
      <c r="BF35" s="2"/>
      <c r="BG35" s="2"/>
      <c r="BH35" s="7"/>
      <c r="BI35" s="26"/>
      <c r="BJ35" s="2"/>
      <c r="BK35" s="2"/>
      <c r="BL35" s="2"/>
      <c r="BM35" s="7"/>
      <c r="BN35" s="2"/>
      <c r="BO35" s="2"/>
    </row>
    <row r="36" spans="2:67" x14ac:dyDescent="0.3">
      <c r="B36" s="22" t="s">
        <v>50</v>
      </c>
      <c r="C36" s="5"/>
      <c r="D36" s="2"/>
      <c r="E36" s="4"/>
      <c r="F36" s="27"/>
      <c r="G36" s="2"/>
      <c r="H36" s="2"/>
      <c r="I36" s="2"/>
      <c r="J36" s="7"/>
      <c r="K36" s="27"/>
      <c r="L36" s="2"/>
      <c r="M36" s="2"/>
      <c r="N36" s="2"/>
      <c r="O36" s="7"/>
      <c r="P36" s="27"/>
      <c r="Q36" s="2"/>
      <c r="R36" s="2"/>
      <c r="S36" s="2"/>
      <c r="T36" s="7"/>
      <c r="U36" s="27"/>
      <c r="V36" s="2"/>
      <c r="W36" s="2"/>
      <c r="X36" s="2"/>
      <c r="Y36" s="7"/>
      <c r="Z36" s="27"/>
      <c r="AA36" s="2"/>
      <c r="AB36" s="2"/>
      <c r="AC36" s="2"/>
      <c r="AD36" s="7"/>
      <c r="AE36" s="27"/>
      <c r="AF36" s="2"/>
      <c r="AG36" s="2"/>
      <c r="AH36" s="2"/>
      <c r="AI36" s="7"/>
      <c r="AJ36" s="27"/>
      <c r="AK36" s="2"/>
      <c r="AL36" s="2"/>
      <c r="AM36" s="2"/>
      <c r="AN36" s="7"/>
      <c r="AO36" s="27"/>
      <c r="AP36" s="2"/>
      <c r="AQ36" s="2"/>
      <c r="AR36" s="2"/>
      <c r="AS36" s="7"/>
      <c r="AT36" s="27"/>
      <c r="AU36" s="2"/>
      <c r="AV36" s="2"/>
      <c r="AW36" s="2"/>
      <c r="AX36" s="7"/>
      <c r="AY36" s="27"/>
      <c r="AZ36" s="2"/>
      <c r="BA36" s="2"/>
      <c r="BB36" s="2"/>
      <c r="BC36" s="7"/>
      <c r="BD36" s="27"/>
      <c r="BE36" s="2"/>
      <c r="BF36" s="2"/>
      <c r="BG36" s="2"/>
      <c r="BH36" s="7"/>
      <c r="BI36" s="27"/>
      <c r="BJ36" s="2"/>
      <c r="BK36" s="2"/>
      <c r="BL36" s="2"/>
      <c r="BM36" s="7"/>
      <c r="BN36" s="2"/>
      <c r="BO36" s="2"/>
    </row>
    <row r="37" spans="2:67" ht="15" thickBot="1" x14ac:dyDescent="0.35">
      <c r="B37" s="22" t="s">
        <v>51</v>
      </c>
      <c r="C37" s="5"/>
      <c r="D37" s="2"/>
      <c r="E37" s="4"/>
      <c r="F37" s="28"/>
      <c r="G37" s="8"/>
      <c r="H37" s="8"/>
      <c r="I37" s="8"/>
      <c r="J37" s="9"/>
      <c r="K37" s="28"/>
      <c r="L37" s="2"/>
      <c r="M37" s="2"/>
      <c r="N37" s="2"/>
      <c r="O37" s="7"/>
      <c r="P37" s="28"/>
      <c r="Q37" s="2"/>
      <c r="R37" s="2"/>
      <c r="S37" s="2"/>
      <c r="T37" s="7"/>
      <c r="U37" s="28"/>
      <c r="V37" s="2"/>
      <c r="W37" s="2"/>
      <c r="X37" s="2"/>
      <c r="Y37" s="7"/>
      <c r="Z37" s="28"/>
      <c r="AA37" s="2"/>
      <c r="AB37" s="2"/>
      <c r="AC37" s="2"/>
      <c r="AD37" s="7"/>
      <c r="AE37" s="28"/>
      <c r="AF37" s="2"/>
      <c r="AG37" s="2"/>
      <c r="AH37" s="2"/>
      <c r="AI37" s="7"/>
      <c r="AJ37" s="28"/>
      <c r="AK37" s="2"/>
      <c r="AL37" s="2"/>
      <c r="AM37" s="2"/>
      <c r="AN37" s="7"/>
      <c r="AO37" s="28"/>
      <c r="AP37" s="2"/>
      <c r="AQ37" s="2"/>
      <c r="AR37" s="2"/>
      <c r="AS37" s="7"/>
      <c r="AT37" s="28"/>
      <c r="AU37" s="2"/>
      <c r="AV37" s="2"/>
      <c r="AW37" s="2"/>
      <c r="AX37" s="7"/>
      <c r="AY37" s="28"/>
      <c r="AZ37" s="2"/>
      <c r="BA37" s="2"/>
      <c r="BB37" s="2"/>
      <c r="BC37" s="7"/>
      <c r="BD37" s="28"/>
      <c r="BE37" s="2"/>
      <c r="BF37" s="2"/>
      <c r="BG37" s="2"/>
      <c r="BH37" s="7"/>
      <c r="BI37" s="28"/>
      <c r="BJ37" s="2"/>
      <c r="BK37" s="2"/>
      <c r="BL37" s="2"/>
      <c r="BM37" s="7"/>
      <c r="BN37" s="2"/>
      <c r="BO37" s="2"/>
    </row>
    <row r="38" spans="2:67" x14ac:dyDescent="0.3">
      <c r="E38" s="19" t="s">
        <v>62</v>
      </c>
      <c r="F38">
        <f>COUNTIF(F15:F37,"tak")</f>
        <v>19</v>
      </c>
      <c r="K38">
        <f>COUNTIF(K15:K37,"tak")</f>
        <v>14</v>
      </c>
      <c r="P38">
        <f>COUNTIF(P15:P37,"tak")</f>
        <v>16</v>
      </c>
      <c r="U38">
        <f>COUNTIF(U15:U37,"tak")</f>
        <v>16</v>
      </c>
      <c r="Z38">
        <f>COUNTIF(Z15:Z37,"tak")</f>
        <v>13</v>
      </c>
      <c r="AE38">
        <f>COUNTIF(AE15:AE37,"tak")</f>
        <v>16</v>
      </c>
      <c r="AJ38">
        <f>COUNTIF(AJ15:AJ37,"tak")</f>
        <v>16</v>
      </c>
      <c r="AO38">
        <f>COUNTIF(AO15:AO37,"tak")</f>
        <v>16</v>
      </c>
      <c r="AT38">
        <f>COUNTIF(AT15:AT37,"tak")</f>
        <v>16</v>
      </c>
      <c r="AY38">
        <f>COUNTIF(AY15:AY37,"tak")</f>
        <v>14</v>
      </c>
      <c r="BD38">
        <f>COUNTIF(BD15:BD37,"tak")</f>
        <v>17</v>
      </c>
      <c r="BI38">
        <f>COUNTIF(BI15:BI37,"tak")</f>
        <v>17</v>
      </c>
    </row>
    <row r="39" spans="2:67" x14ac:dyDescent="0.3">
      <c r="E39" s="19" t="s">
        <v>63</v>
      </c>
      <c r="F39">
        <f>COUNTIF(F15:F37,"nie")</f>
        <v>0</v>
      </c>
      <c r="K39">
        <f>COUNTIF(K15:K37,"nie")</f>
        <v>5</v>
      </c>
      <c r="P39">
        <f>COUNTIF(P15:P37,"nie")</f>
        <v>3</v>
      </c>
      <c r="U39">
        <f>COUNTIF(U15:U37,"nie")</f>
        <v>3</v>
      </c>
      <c r="Z39">
        <f>COUNTIF(Z15:Z37,"nie")</f>
        <v>6</v>
      </c>
      <c r="AE39">
        <f>COUNTIF(AE15:AE37,"nie")</f>
        <v>3</v>
      </c>
      <c r="AJ39">
        <f>COUNTIF(AJ15:AJ37,"nie")</f>
        <v>3</v>
      </c>
      <c r="AO39">
        <f>COUNTIF(AO15:AO37,"nie")</f>
        <v>3</v>
      </c>
      <c r="AT39">
        <f>COUNTIF(AT15:AT37,"nie")</f>
        <v>3</v>
      </c>
      <c r="AY39">
        <f>COUNTIF(AY15:AY37,"nie")</f>
        <v>5</v>
      </c>
      <c r="BD39">
        <f>COUNTIF(BD15:BD37,"nie")</f>
        <v>2</v>
      </c>
      <c r="BI39">
        <f>COUNTIF(BI15:BI37,"nie")</f>
        <v>2</v>
      </c>
    </row>
    <row r="40" spans="2:67" x14ac:dyDescent="0.3">
      <c r="B40" s="14" t="s">
        <v>52</v>
      </c>
    </row>
    <row r="41" spans="2:67" x14ac:dyDescent="0.3">
      <c r="B41" t="s">
        <v>55</v>
      </c>
    </row>
    <row r="42" spans="2:67" x14ac:dyDescent="0.3">
      <c r="B42" s="15" t="s">
        <v>15</v>
      </c>
    </row>
    <row r="43" spans="2:67" x14ac:dyDescent="0.3">
      <c r="B43" s="15" t="s">
        <v>53</v>
      </c>
    </row>
    <row r="44" spans="2:67" x14ac:dyDescent="0.3">
      <c r="B44" s="16" t="s">
        <v>54</v>
      </c>
    </row>
  </sheetData>
  <mergeCells count="30">
    <mergeCell ref="BI12:BM12"/>
    <mergeCell ref="BN13:BN14"/>
    <mergeCell ref="BO13:BO14"/>
    <mergeCell ref="F13:J13"/>
    <mergeCell ref="K13:O13"/>
    <mergeCell ref="K12:O12"/>
    <mergeCell ref="P12:T12"/>
    <mergeCell ref="U12:Y12"/>
    <mergeCell ref="U13:Y13"/>
    <mergeCell ref="Z12:AD12"/>
    <mergeCell ref="AJ12:AN12"/>
    <mergeCell ref="AJ13:AN13"/>
    <mergeCell ref="AE12:AI12"/>
    <mergeCell ref="AO12:AS12"/>
    <mergeCell ref="AT12:AX12"/>
    <mergeCell ref="AT13:AX13"/>
    <mergeCell ref="BD12:BH12"/>
    <mergeCell ref="B13:B14"/>
    <mergeCell ref="BI13:BM13"/>
    <mergeCell ref="P13:T13"/>
    <mergeCell ref="Z13:AD13"/>
    <mergeCell ref="AE13:AI13"/>
    <mergeCell ref="AO13:AS13"/>
    <mergeCell ref="BD13:BH13"/>
    <mergeCell ref="AY12:BC12"/>
    <mergeCell ref="AY13:BC13"/>
    <mergeCell ref="C13:C14"/>
    <mergeCell ref="D13:D14"/>
    <mergeCell ref="E13:E14"/>
    <mergeCell ref="F12:J12"/>
  </mergeCells>
  <phoneticPr fontId="3" type="noConversion"/>
  <conditionalFormatting sqref="F15:F37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top10" priority="94" rank="10"/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{16AFBD1B-B9A0-473C-B2C9-16B7FE0399D2}</x14:id>
        </ext>
      </extLst>
    </cfRule>
  </conditionalFormatting>
  <conditionalFormatting sqref="F15:F39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{A1690248-1C48-4DC7-9ABC-C8DFCA7188C8}</x14:id>
        </ext>
      </extLst>
    </cfRule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6 F18 F20 F22 F24 F26 F28 F30 F32 F34 F36">
    <cfRule type="dataBar" priority="9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{C9E3B4E7-6F65-4DD3-B5C4-1BDCB507A6EC}</x14:id>
        </ext>
      </extLst>
    </cfRule>
  </conditionalFormatting>
  <conditionalFormatting sqref="F23 F25 F27 F29 F31 F33 F35 F37 F15:F21">
    <cfRule type="dataBar" priority="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{FF11097C-BB72-4574-B8AC-E39B04F8A61B}</x14:id>
        </ext>
      </extLst>
    </cfRule>
  </conditionalFormatting>
  <conditionalFormatting sqref="F15:H37">
    <cfRule type="dataBar" priority="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{5188E8F9-2141-4944-9921-08C19DF72DBC}</x14:id>
        </ext>
      </extLst>
    </cfRule>
  </conditionalFormatting>
  <conditionalFormatting sqref="K15:K37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{898A0FA7-F36B-47AE-8253-7A754EA9F353}</x14:id>
        </ext>
      </extLst>
    </cfRule>
    <cfRule type="dataBar" priority="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{7AE2A251-390B-4CED-BD8B-7CEC93D95908}</x14:id>
        </ext>
      </extLst>
    </cfRule>
    <cfRule type="top10" priority="85" rank="10"/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K39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{7BF9F96E-5BF1-4AA9-BB19-2FDFD6325B11}</x14:id>
        </ext>
      </extLst>
    </cfRule>
  </conditionalFormatting>
  <conditionalFormatting sqref="K16 K18 K20 K22 K24 K26 K28 K30 K32 K34 K36">
    <cfRule type="dataBar" priority="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{54DEF829-4EFE-4863-9BEC-AD038798D6DD}</x14:id>
        </ext>
      </extLst>
    </cfRule>
  </conditionalFormatting>
  <conditionalFormatting sqref="K23 K25 K27 K29 K31 K33 K35 K37 K15:K21">
    <cfRule type="dataBar" priority="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{50A3DE8B-01FB-4F1C-9736-F56A826758D6}</x14:id>
        </ext>
      </extLst>
    </cfRule>
  </conditionalFormatting>
  <conditionalFormatting sqref="P15:P37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{F00B0850-6317-4B16-BF1F-5C279BF54B9A}</x14:id>
        </ext>
      </extLst>
    </cfRule>
    <cfRule type="top10" priority="77" rank="10"/>
    <cfRule type="dataBar" priority="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{F686AFEB-C512-413D-9DC7-EA7BCE814A56}</x14:id>
        </ext>
      </extLst>
    </cfRule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39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{6D3BD8FB-22A1-49E9-8F0E-6EFA38110D38}</x14:id>
        </ext>
      </extLst>
    </cfRule>
  </conditionalFormatting>
  <conditionalFormatting sqref="P16 P18 P20 P22 P24 P26 P28 P30 P32 P34 P36">
    <cfRule type="dataBar" priority="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{ABB4E9CC-2302-49BE-9845-02182E3B4A4E}</x14:id>
        </ext>
      </extLst>
    </cfRule>
  </conditionalFormatting>
  <conditionalFormatting sqref="P23 P25 P27 P29 P31 P33 P35 P37 P15:P21">
    <cfRule type="dataBar" priority="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{11081BDD-8E80-4124-8933-9BF3B071E886}</x14:id>
        </ext>
      </extLst>
    </cfRule>
  </conditionalFormatting>
  <conditionalFormatting sqref="U15:U37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{EF440AB8-9A94-4A08-B61C-43F1612A127F}</x14:id>
        </ext>
      </extLst>
    </cfRule>
    <cfRule type="top10" priority="69" rank="10"/>
    <cfRule type="dataBar" priority="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{21E40197-77BA-436C-B153-034F16866D12}</x14:id>
        </ext>
      </extLst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:U39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{20BBC01D-EFED-4225-A5B5-B069E068BF8C}</x14:id>
        </ext>
      </extLst>
    </cfRule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6 U18 U20 U22 U24 U26 U28 U30 U32 U34 U36">
    <cfRule type="dataBar" priority="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{88FA1546-BCD0-408C-BDFD-6638C0D3D80C}</x14:id>
        </ext>
      </extLst>
    </cfRule>
  </conditionalFormatting>
  <conditionalFormatting sqref="U23 U25 U27 U29 U31 U33 U35 U37 U15:U21"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{F1AB9F92-C5FB-4FB6-BE69-F33317580944}</x14:id>
        </ext>
      </extLst>
    </cfRule>
  </conditionalFormatting>
  <conditionalFormatting sqref="Z15:Z37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{78CB5B4D-0582-40B8-B2BB-8A7C5357EE80}</x14:id>
        </ext>
      </extLst>
    </cfRule>
    <cfRule type="top10" priority="61" rank="10"/>
    <cfRule type="dataBar" priority="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{0B13E7A8-F6D8-4E52-A4AF-DA890945A023}</x14:id>
        </ext>
      </extLst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5:Z39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{58BB9295-5B15-43EC-A491-B486C7078249}</x14:id>
        </ext>
      </extLst>
    </cfRule>
  </conditionalFormatting>
  <conditionalFormatting sqref="Z16 Z18 Z20 Z22 Z24 Z26 Z28 Z30 Z32 Z34 Z36">
    <cfRule type="dataBar" priority="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{62312519-EE63-4386-8C44-91CABC6DEA5E}</x14:id>
        </ext>
      </extLst>
    </cfRule>
  </conditionalFormatting>
  <conditionalFormatting sqref="Z23 Z25 Z27 Z29 Z31 Z33 Z35 Z37 Z15:Z21">
    <cfRule type="dataBar" priority="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{FE3A478F-B50C-4BEB-878C-293DBC0C641B}</x14:id>
        </ext>
      </extLst>
    </cfRule>
  </conditionalFormatting>
  <conditionalFormatting sqref="AE15:AE3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top10" priority="45" rank="10"/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{7588578B-9922-46A7-BAAF-3BDB83D291A4}</x14:id>
        </ext>
      </extLst>
    </cfRule>
    <cfRule type="dataBar" priority="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{20FE6F30-9C41-40AA-AF6B-7B6E4BD591B2}</x14:id>
        </ext>
      </extLst>
    </cfRule>
  </conditionalFormatting>
  <conditionalFormatting sqref="AE15:AE39">
    <cfRule type="dataBar" priority="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{08CD5017-0AD8-4656-A8F5-CDFF700913A4}</x14:id>
        </ext>
      </extLst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6 AE18 AE20 AE22 AE24 AE26 AE28 AE30 AE32 AE34 AE36">
    <cfRule type="dataBar" priority="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{9EE189A9-0A45-494F-870D-41966E7E62C8}</x14:id>
        </ext>
      </extLst>
    </cfRule>
  </conditionalFormatting>
  <conditionalFormatting sqref="AE23 AE25 AE27 AE29 AE31 AE33 AE35 AE37 AE15:AE21">
    <cfRule type="dataBar" priority="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{D0C4611A-264B-418C-A7F1-F1F158BA61EA}</x14:id>
        </ext>
      </extLst>
    </cfRule>
  </conditionalFormatting>
  <conditionalFormatting sqref="AJ15:AJ37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{D60EEE62-E991-47A5-9375-43648A08BF30}</x14:id>
        </ext>
      </extLst>
    </cfRule>
    <cfRule type="dataBar" priority="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{6243201D-F941-4DB5-8055-2BA21C1A8B75}</x14:id>
        </ext>
      </extLst>
    </cfRule>
    <cfRule type="top10" priority="53" rank="10"/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5:AJ39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{3F5F0B0A-CBB8-4307-BFF8-D8F9A1DAE3F6}</x14:id>
        </ext>
      </extLst>
    </cfRule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6 AJ18 AJ20 AJ22 AJ24 AJ26 AJ28 AJ30 AJ32 AJ34 AJ36">
    <cfRule type="dataBar" priority="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{5EF109A8-5140-4BF5-A115-9FC9FE3A5466}</x14:id>
        </ext>
      </extLst>
    </cfRule>
  </conditionalFormatting>
  <conditionalFormatting sqref="AJ23 AJ25 AJ27 AJ29 AJ31 AJ33 AJ35 AJ37 AJ15:AJ21">
    <cfRule type="dataBar" priority="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{DCF52313-BA8A-42A5-ADAF-3C1F3AED3523}</x14:id>
        </ext>
      </extLst>
    </cfRule>
  </conditionalFormatting>
  <conditionalFormatting sqref="AO15:AO37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{89765068-54ED-4260-BF22-D4A53DD1EF81}</x14:id>
        </ext>
      </extLst>
    </cfRule>
    <cfRule type="top10" priority="37" rank="10"/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{85C9BA43-6175-4011-823C-0DC5399F145C}</x14:id>
        </ext>
      </extLst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5:AO39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{F9111F50-E7FB-4D08-BE58-58A4CDF1373F}</x14:id>
        </ext>
      </extLst>
    </cfRule>
  </conditionalFormatting>
  <conditionalFormatting sqref="AO16 AO18 AO20 AO22 AO24 AO26 AO28 AO30 AO32 AO34 AO3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{9387816C-F2A3-4242-837F-8EC25ACC8063}</x14:id>
        </ext>
      </extLst>
    </cfRule>
  </conditionalFormatting>
  <conditionalFormatting sqref="AO23 AO25 AO27 AO29 AO31 AO33 AO35 AO37 AO15:AO21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{F7B3069B-2396-49DD-9793-8AC673658F5D}</x14:id>
        </ext>
      </extLst>
    </cfRule>
  </conditionalFormatting>
  <conditionalFormatting sqref="AT15:AT3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{6085207F-8DE2-4089-8954-D054234DA002}</x14:id>
        </ext>
      </extLst>
    </cfRule>
    <cfRule type="top10" priority="29" rank="10"/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{6C50FD9E-82CB-429C-BA83-4174A82E49D2}</x14:id>
        </ext>
      </extLst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15:AT39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{1A52EBA4-A930-49DE-9AA3-05DF72964719}</x14:id>
        </ext>
      </extLst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16 AT18 AT20 AT22 AT24 AT26 AT28 AT30 AT32 AT34 AT36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{B92874DA-9D4C-434C-84E4-880F3CE31E75}</x14:id>
        </ext>
      </extLst>
    </cfRule>
  </conditionalFormatting>
  <conditionalFormatting sqref="AT23 AT25 AT27 AT29 AT31 AT33 AT35 AT37 AT15:AT21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{55D9177A-40BA-441A-AA56-FCF31FBF185B}</x14:id>
        </ext>
      </extLst>
    </cfRule>
  </conditionalFormatting>
  <conditionalFormatting sqref="AY15:AY37">
    <cfRule type="top10" priority="21" rank="10"/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{5AFBD18C-0BE9-40BC-AB8B-3812CA397ED3}</x14:id>
        </ext>
      </extLst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{95576CED-35FF-4009-BAFB-4FE98E826C28}</x14:id>
        </ext>
      </extLst>
    </cfRule>
  </conditionalFormatting>
  <conditionalFormatting sqref="AY15:AY39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{C58286EF-FEDA-4D1A-8588-88A97538A566}</x14:id>
        </ext>
      </extLst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16 AY18 AY20 AY22 AY24 AY26 AY28 AY30 AY32 AY34 AY36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{86049311-31C8-4FBC-A224-B16ABA2D9EA3}</x14:id>
        </ext>
      </extLst>
    </cfRule>
  </conditionalFormatting>
  <conditionalFormatting sqref="AY23 AY25 AY27 AY29 AY31 AY33 AY35 AY37 AY15:AY21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{7437744A-2A62-4ED8-A3EE-BEA00BB6B120}</x14:id>
        </ext>
      </extLst>
    </cfRule>
  </conditionalFormatting>
  <conditionalFormatting sqref="BD15:BD3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{DA616EAA-3751-4CD7-B933-BE8D03076172}</x14:id>
        </ext>
      </extLst>
    </cfRule>
    <cfRule type="top10" priority="13" rank="10"/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{AEDEA09C-8308-4399-92C4-F79EBDA396D4}</x14:id>
        </ext>
      </extLst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5:BD39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{1ABAA824-DFA8-4278-9B48-02157ADF23D9}</x14:id>
        </ext>
      </extLst>
    </cfRule>
  </conditionalFormatting>
  <conditionalFormatting sqref="BD16 BD18 BD20 BD22 BD24 BD26 BD28 BD30 BD32 BD34 BD3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{3B5CA7F9-07A4-404F-9A3C-DE29D1CEF804}</x14:id>
        </ext>
      </extLst>
    </cfRule>
  </conditionalFormatting>
  <conditionalFormatting sqref="BD23 BD25 BD27 BD29 BD31 BD33 BD35 BD37 BD15:BD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{E0870158-6F34-4B05-8913-A9A1F49B291A}</x14:id>
        </ext>
      </extLst>
    </cfRule>
  </conditionalFormatting>
  <conditionalFormatting sqref="BI15:BI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{DCCA1FCE-CAC1-4B48-AFED-F69F4F0E0664}</x14:id>
        </ext>
      </extLst>
    </cfRule>
    <cfRule type="top10" priority="5" rank="10"/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{540E7BA3-B6F1-48AC-93DE-DD64DD03B680}</x14:id>
        </ext>
      </extLst>
    </cfRule>
  </conditionalFormatting>
  <conditionalFormatting sqref="BI15:BI39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{0A0D29E2-241E-45B5-916F-6EBA96145D57}</x14:id>
        </ext>
      </extLst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16 BI18 BI20 BI22 BI24 BI26 BI28 BI30 BI32 BI34 BI3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{E34AFBED-15BB-4364-A973-FD2FAD0ED483}</x14:id>
        </ext>
      </extLst>
    </cfRule>
  </conditionalFormatting>
  <conditionalFormatting sqref="BI23 BI25 BI27 BI29 BI31 BI33 BI35 BI37 BI15:BI21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{AE6B6BE2-E233-4BFD-BB6C-6FA9A8F30A4B}</x14:id>
        </ext>
      </extLst>
    </cfRule>
  </conditionalFormatting>
  <dataValidations count="1">
    <dataValidation type="list" allowBlank="1" showInputMessage="1" showErrorMessage="1" sqref="F15:F37 K15:K37 P15:P37 U15:U37 Z15:Z37 AJ15:AJ37 AE15:AE37 AO15:AO37 AT15:AT37 AY15:AY37 BD15:BD37 BI15:BI37" xr:uid="{CAAE8536-07D6-421C-A326-9DFF85DD2ABB}">
      <formula1>"tak,nie"</formula1>
    </dataValidation>
  </dataValidations>
  <hyperlinks>
    <hyperlink ref="B44" r:id="rId1" xr:uid="{2457660B-686F-42B5-BBBA-3F2DAFF39C69}"/>
  </hyperlink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AFBD1B-B9A0-473C-B2C9-16B7FE0399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F15:F37</xm:sqref>
        </x14:conditionalFormatting>
        <x14:conditionalFormatting xmlns:xm="http://schemas.microsoft.com/office/excel/2006/main">
          <x14:cfRule type="dataBar" id="{A1690248-1C48-4DC7-9ABC-C8DFCA7188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F15:F39</xm:sqref>
        </x14:conditionalFormatting>
        <x14:conditionalFormatting xmlns:xm="http://schemas.microsoft.com/office/excel/2006/main">
          <x14:cfRule type="dataBar" id="{C9E3B4E7-6F65-4DD3-B5C4-1BDCB507A6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F16 F18 F20 F22 F24 F26 F28 F30 F32 F34 F36</xm:sqref>
        </x14:conditionalFormatting>
        <x14:conditionalFormatting xmlns:xm="http://schemas.microsoft.com/office/excel/2006/main">
          <x14:cfRule type="dataBar" id="{FF11097C-BB72-4574-B8AC-E39B04F8A6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 F25 F27 F29 F31 F33 F35 F37 F15:F21</xm:sqref>
        </x14:conditionalFormatting>
        <x14:conditionalFormatting xmlns:xm="http://schemas.microsoft.com/office/excel/2006/main">
          <x14:cfRule type="dataBar" id="{5188E8F9-2141-4944-9921-08C19DF72D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F15:H37</xm:sqref>
        </x14:conditionalFormatting>
        <x14:conditionalFormatting xmlns:xm="http://schemas.microsoft.com/office/excel/2006/main">
          <x14:cfRule type="dataBar" id="{898A0FA7-F36B-47AE-8253-7A754EA9F3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A251-390B-4CED-BD8B-7CEC93D959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K15:K37</xm:sqref>
        </x14:conditionalFormatting>
        <x14:conditionalFormatting xmlns:xm="http://schemas.microsoft.com/office/excel/2006/main">
          <x14:cfRule type="dataBar" id="{7BF9F96E-5BF1-4AA9-BB19-2FDFD6325B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K15:K39</xm:sqref>
        </x14:conditionalFormatting>
        <x14:conditionalFormatting xmlns:xm="http://schemas.microsoft.com/office/excel/2006/main">
          <x14:cfRule type="dataBar" id="{54DEF829-4EFE-4863-9BEC-AD038798D6D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K16 K18 K20 K22 K24 K26 K28 K30 K32 K34 K36</xm:sqref>
        </x14:conditionalFormatting>
        <x14:conditionalFormatting xmlns:xm="http://schemas.microsoft.com/office/excel/2006/main">
          <x14:cfRule type="dataBar" id="{50A3DE8B-01FB-4F1C-9736-F56A826758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K23 K25 K27 K29 K31 K33 K35 K37 K15:K21</xm:sqref>
        </x14:conditionalFormatting>
        <x14:conditionalFormatting xmlns:xm="http://schemas.microsoft.com/office/excel/2006/main">
          <x14:cfRule type="dataBar" id="{F00B0850-6317-4B16-BF1F-5C279BF54B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86AFEB-C512-413D-9DC7-EA7BCE814A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P15:P37</xm:sqref>
        </x14:conditionalFormatting>
        <x14:conditionalFormatting xmlns:xm="http://schemas.microsoft.com/office/excel/2006/main">
          <x14:cfRule type="dataBar" id="{6D3BD8FB-22A1-49E9-8F0E-6EFA38110D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P15:P39</xm:sqref>
        </x14:conditionalFormatting>
        <x14:conditionalFormatting xmlns:xm="http://schemas.microsoft.com/office/excel/2006/main">
          <x14:cfRule type="dataBar" id="{ABB4E9CC-2302-49BE-9845-02182E3B4A4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P16 P18 P20 P22 P24 P26 P28 P30 P32 P34 P36</xm:sqref>
        </x14:conditionalFormatting>
        <x14:conditionalFormatting xmlns:xm="http://schemas.microsoft.com/office/excel/2006/main">
          <x14:cfRule type="dataBar" id="{11081BDD-8E80-4124-8933-9BF3B071E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 P25 P27 P29 P31 P33 P35 P37 P15:P21</xm:sqref>
        </x14:conditionalFormatting>
        <x14:conditionalFormatting xmlns:xm="http://schemas.microsoft.com/office/excel/2006/main">
          <x14:cfRule type="dataBar" id="{EF440AB8-9A94-4A08-B61C-43F1612A12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E40197-77BA-436C-B153-034F16866D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U15:U37</xm:sqref>
        </x14:conditionalFormatting>
        <x14:conditionalFormatting xmlns:xm="http://schemas.microsoft.com/office/excel/2006/main">
          <x14:cfRule type="dataBar" id="{20BBC01D-EFED-4225-A5B5-B069E068BF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U15:U39</xm:sqref>
        </x14:conditionalFormatting>
        <x14:conditionalFormatting xmlns:xm="http://schemas.microsoft.com/office/excel/2006/main">
          <x14:cfRule type="dataBar" id="{88FA1546-BCD0-408C-BDFD-6638C0D3D8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U16 U18 U20 U22 U24 U26 U28 U30 U32 U34 U36</xm:sqref>
        </x14:conditionalFormatting>
        <x14:conditionalFormatting xmlns:xm="http://schemas.microsoft.com/office/excel/2006/main">
          <x14:cfRule type="dataBar" id="{F1AB9F92-C5FB-4FB6-BE69-F333175809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U23 U25 U27 U29 U31 U33 U35 U37 U15:U21</xm:sqref>
        </x14:conditionalFormatting>
        <x14:conditionalFormatting xmlns:xm="http://schemas.microsoft.com/office/excel/2006/main">
          <x14:cfRule type="dataBar" id="{78CB5B4D-0582-40B8-B2BB-8A7C5357EE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13E7A8-F6D8-4E52-A4AF-DA890945A0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Z15:Z37</xm:sqref>
        </x14:conditionalFormatting>
        <x14:conditionalFormatting xmlns:xm="http://schemas.microsoft.com/office/excel/2006/main">
          <x14:cfRule type="dataBar" id="{58BB9295-5B15-43EC-A491-B486C70782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Z15:Z39</xm:sqref>
        </x14:conditionalFormatting>
        <x14:conditionalFormatting xmlns:xm="http://schemas.microsoft.com/office/excel/2006/main">
          <x14:cfRule type="dataBar" id="{62312519-EE63-4386-8C44-91CABC6DEA5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Z16 Z18 Z20 Z22 Z24 Z26 Z28 Z30 Z32 Z34 Z36</xm:sqref>
        </x14:conditionalFormatting>
        <x14:conditionalFormatting xmlns:xm="http://schemas.microsoft.com/office/excel/2006/main">
          <x14:cfRule type="dataBar" id="{FE3A478F-B50C-4BEB-878C-293DBC0C6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Z23 Z25 Z27 Z29 Z31 Z33 Z35 Z37 Z15:Z21</xm:sqref>
        </x14:conditionalFormatting>
        <x14:conditionalFormatting xmlns:xm="http://schemas.microsoft.com/office/excel/2006/main">
          <x14:cfRule type="dataBar" id="{7588578B-9922-46A7-BAAF-3BDB83D291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FE6F30-9C41-40AA-AF6B-7B6E4BD591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AE15:AE37</xm:sqref>
        </x14:conditionalFormatting>
        <x14:conditionalFormatting xmlns:xm="http://schemas.microsoft.com/office/excel/2006/main">
          <x14:cfRule type="dataBar" id="{08CD5017-0AD8-4656-A8F5-CDFF700913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AE15:AE39</xm:sqref>
        </x14:conditionalFormatting>
        <x14:conditionalFormatting xmlns:xm="http://schemas.microsoft.com/office/excel/2006/main">
          <x14:cfRule type="dataBar" id="{9EE189A9-0A45-494F-870D-41966E7E62C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AE16 AE18 AE20 AE22 AE24 AE26 AE28 AE30 AE32 AE34 AE36</xm:sqref>
        </x14:conditionalFormatting>
        <x14:conditionalFormatting xmlns:xm="http://schemas.microsoft.com/office/excel/2006/main">
          <x14:cfRule type="dataBar" id="{D0C4611A-264B-418C-A7F1-F1F158BA61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AE23 AE25 AE27 AE29 AE31 AE33 AE35 AE37 AE15:AE21</xm:sqref>
        </x14:conditionalFormatting>
        <x14:conditionalFormatting xmlns:xm="http://schemas.microsoft.com/office/excel/2006/main">
          <x14:cfRule type="dataBar" id="{D60EEE62-E991-47A5-9375-43648A08BF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43201D-F941-4DB5-8055-2BA21C1A8B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AJ15:AJ37</xm:sqref>
        </x14:conditionalFormatting>
        <x14:conditionalFormatting xmlns:xm="http://schemas.microsoft.com/office/excel/2006/main">
          <x14:cfRule type="dataBar" id="{3F5F0B0A-CBB8-4307-BFF8-D8F9A1DAE3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AJ15:AJ39</xm:sqref>
        </x14:conditionalFormatting>
        <x14:conditionalFormatting xmlns:xm="http://schemas.microsoft.com/office/excel/2006/main">
          <x14:cfRule type="dataBar" id="{5EF109A8-5140-4BF5-A115-9FC9FE3A546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AJ16 AJ18 AJ20 AJ22 AJ24 AJ26 AJ28 AJ30 AJ32 AJ34 AJ36</xm:sqref>
        </x14:conditionalFormatting>
        <x14:conditionalFormatting xmlns:xm="http://schemas.microsoft.com/office/excel/2006/main">
          <x14:cfRule type="dataBar" id="{DCF52313-BA8A-42A5-ADAF-3C1F3AED35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AJ23 AJ25 AJ27 AJ29 AJ31 AJ33 AJ35 AJ37 AJ15:AJ21</xm:sqref>
        </x14:conditionalFormatting>
        <x14:conditionalFormatting xmlns:xm="http://schemas.microsoft.com/office/excel/2006/main">
          <x14:cfRule type="dataBar" id="{89765068-54ED-4260-BF22-D4A53DD1EF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C9BA43-6175-4011-823C-0DC5399F14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AO15:AO37</xm:sqref>
        </x14:conditionalFormatting>
        <x14:conditionalFormatting xmlns:xm="http://schemas.microsoft.com/office/excel/2006/main">
          <x14:cfRule type="dataBar" id="{F9111F50-E7FB-4D08-BE58-58A4CDF137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AO15:AO39</xm:sqref>
        </x14:conditionalFormatting>
        <x14:conditionalFormatting xmlns:xm="http://schemas.microsoft.com/office/excel/2006/main">
          <x14:cfRule type="dataBar" id="{9387816C-F2A3-4242-837F-8EC25ACC806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AO16 AO18 AO20 AO22 AO24 AO26 AO28 AO30 AO32 AO34 AO36</xm:sqref>
        </x14:conditionalFormatting>
        <x14:conditionalFormatting xmlns:xm="http://schemas.microsoft.com/office/excel/2006/main">
          <x14:cfRule type="dataBar" id="{F7B3069B-2396-49DD-9793-8AC673658F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AO23 AO25 AO27 AO29 AO31 AO33 AO35 AO37 AO15:AO21</xm:sqref>
        </x14:conditionalFormatting>
        <x14:conditionalFormatting xmlns:xm="http://schemas.microsoft.com/office/excel/2006/main">
          <x14:cfRule type="dataBar" id="{6085207F-8DE2-4089-8954-D054234DA0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50FD9E-82CB-429C-BA83-4174A82E49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AT15:AT37</xm:sqref>
        </x14:conditionalFormatting>
        <x14:conditionalFormatting xmlns:xm="http://schemas.microsoft.com/office/excel/2006/main">
          <x14:cfRule type="dataBar" id="{1A52EBA4-A930-49DE-9AA3-05DF729647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AT15:AT39</xm:sqref>
        </x14:conditionalFormatting>
        <x14:conditionalFormatting xmlns:xm="http://schemas.microsoft.com/office/excel/2006/main">
          <x14:cfRule type="dataBar" id="{B92874DA-9D4C-434C-84E4-880F3CE31E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AT16 AT18 AT20 AT22 AT24 AT26 AT28 AT30 AT32 AT34 AT36</xm:sqref>
        </x14:conditionalFormatting>
        <x14:conditionalFormatting xmlns:xm="http://schemas.microsoft.com/office/excel/2006/main">
          <x14:cfRule type="dataBar" id="{55D9177A-40BA-441A-AA56-FCF31FBF18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AT23 AT25 AT27 AT29 AT31 AT33 AT35 AT37 AT15:AT21</xm:sqref>
        </x14:conditionalFormatting>
        <x14:conditionalFormatting xmlns:xm="http://schemas.microsoft.com/office/excel/2006/main">
          <x14:cfRule type="dataBar" id="{5AFBD18C-0BE9-40BC-AB8B-3812CA397E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576CED-35FF-4009-BAFB-4FE98E826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AY15:AY37</xm:sqref>
        </x14:conditionalFormatting>
        <x14:conditionalFormatting xmlns:xm="http://schemas.microsoft.com/office/excel/2006/main">
          <x14:cfRule type="dataBar" id="{C58286EF-FEDA-4D1A-8588-88A97538A5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AY15:AY39</xm:sqref>
        </x14:conditionalFormatting>
        <x14:conditionalFormatting xmlns:xm="http://schemas.microsoft.com/office/excel/2006/main">
          <x14:cfRule type="dataBar" id="{86049311-31C8-4FBC-A224-B16ABA2D9EA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AY16 AY18 AY20 AY22 AY24 AY26 AY28 AY30 AY32 AY34 AY36</xm:sqref>
        </x14:conditionalFormatting>
        <x14:conditionalFormatting xmlns:xm="http://schemas.microsoft.com/office/excel/2006/main">
          <x14:cfRule type="dataBar" id="{7437744A-2A62-4ED8-A3EE-BEA00BB6B1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AY23 AY25 AY27 AY29 AY31 AY33 AY35 AY37 AY15:AY21</xm:sqref>
        </x14:conditionalFormatting>
        <x14:conditionalFormatting xmlns:xm="http://schemas.microsoft.com/office/excel/2006/main">
          <x14:cfRule type="dataBar" id="{DA616EAA-3751-4CD7-B933-BE8D030761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DEA09C-8308-4399-92C4-F79EBDA396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BD15:BD37</xm:sqref>
        </x14:conditionalFormatting>
        <x14:conditionalFormatting xmlns:xm="http://schemas.microsoft.com/office/excel/2006/main">
          <x14:cfRule type="dataBar" id="{1ABAA824-DFA8-4278-9B48-02157ADF2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BD15:BD39</xm:sqref>
        </x14:conditionalFormatting>
        <x14:conditionalFormatting xmlns:xm="http://schemas.microsoft.com/office/excel/2006/main">
          <x14:cfRule type="dataBar" id="{3B5CA7F9-07A4-404F-9A3C-DE29D1CEF80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BD16 BD18 BD20 BD22 BD24 BD26 BD28 BD30 BD32 BD34 BD36</xm:sqref>
        </x14:conditionalFormatting>
        <x14:conditionalFormatting xmlns:xm="http://schemas.microsoft.com/office/excel/2006/main">
          <x14:cfRule type="dataBar" id="{E0870158-6F34-4B05-8913-A9A1F49B29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BD23 BD25 BD27 BD29 BD31 BD33 BD35 BD37 BD15:BD21</xm:sqref>
        </x14:conditionalFormatting>
        <x14:conditionalFormatting xmlns:xm="http://schemas.microsoft.com/office/excel/2006/main">
          <x14:cfRule type="dataBar" id="{DCCA1FCE-CAC1-4B48-AFED-F69F4F0E06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0E7BA3-B6F1-48AC-93DE-DD64DD03B6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BI15:BI37</xm:sqref>
        </x14:conditionalFormatting>
        <x14:conditionalFormatting xmlns:xm="http://schemas.microsoft.com/office/excel/2006/main">
          <x14:cfRule type="dataBar" id="{0A0D29E2-241E-45B5-916F-6EBA96145D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BI15:BI39</xm:sqref>
        </x14:conditionalFormatting>
        <x14:conditionalFormatting xmlns:xm="http://schemas.microsoft.com/office/excel/2006/main">
          <x14:cfRule type="dataBar" id="{E34AFBED-15BB-4364-A973-FD2FAD0ED48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BI16 BI18 BI20 BI22 BI24 BI26 BI28 BI30 BI32 BI34 BI36</xm:sqref>
        </x14:conditionalFormatting>
        <x14:conditionalFormatting xmlns:xm="http://schemas.microsoft.com/office/excel/2006/main">
          <x14:cfRule type="dataBar" id="{AE6B6BE2-E233-4BFD-BB6C-6FA9A8F30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BI23 BI25 BI27 BI29 BI31 BI33 BI35 BI37 BI15:BI21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Lista obecności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Stanisław Witkowski</cp:lastModifiedBy>
  <dcterms:created xsi:type="dcterms:W3CDTF">2025-10-01T19:45:08Z</dcterms:created>
  <dcterms:modified xsi:type="dcterms:W3CDTF">2025-12-11T15:35:38Z</dcterms:modified>
</cp:coreProperties>
</file>